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drawings/drawing4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\30Hero\tools\"/>
    </mc:Choice>
  </mc:AlternateContent>
  <bookViews>
    <workbookView xWindow="-120" yWindow="-120" windowWidth="20736" windowHeight="11160" activeTab="4"/>
  </bookViews>
  <sheets>
    <sheet name="TableList" sheetId="2" r:id="rId1"/>
    <sheet name="role" sheetId="18" r:id="rId2"/>
    <sheet name="permission" sheetId="19" r:id="rId3"/>
    <sheet name="role_permission" sheetId="20" r:id="rId4"/>
    <sheet name="user" sheetId="17" r:id="rId5"/>
    <sheet name="Remark" sheetId="5" r:id="rId6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3" i="20" l="1"/>
  <c r="B46" i="20"/>
  <c r="B19" i="20"/>
  <c r="A1" i="20"/>
  <c r="B77" i="19"/>
  <c r="B50" i="19"/>
  <c r="B23" i="19"/>
  <c r="A1" i="19"/>
  <c r="A1" i="18"/>
  <c r="A1" i="17"/>
  <c r="A4" i="2"/>
  <c r="A5" i="2"/>
  <c r="A6" i="2"/>
  <c r="A7" i="2"/>
  <c r="A8" i="2"/>
  <c r="A9" i="2"/>
  <c r="A10" i="2"/>
  <c r="A11" i="2"/>
  <c r="A12" i="2"/>
  <c r="A13" i="2"/>
  <c r="B74" i="18"/>
  <c r="B47" i="18"/>
  <c r="B20" i="18"/>
  <c r="A3" i="2"/>
  <c r="G11" i="20"/>
  <c r="G7" i="20"/>
  <c r="F8" i="20"/>
  <c r="F12" i="19"/>
  <c r="F17" i="19"/>
  <c r="F14" i="19"/>
  <c r="G14" i="18"/>
  <c r="F7" i="18"/>
  <c r="F13" i="20"/>
  <c r="G9" i="19"/>
  <c r="F14" i="18"/>
  <c r="F10" i="18"/>
  <c r="F11" i="20"/>
  <c r="F10" i="20"/>
  <c r="G11" i="19"/>
  <c r="F10" i="19"/>
  <c r="F7" i="19"/>
  <c r="G10" i="18"/>
  <c r="G9" i="18"/>
  <c r="F11" i="19"/>
  <c r="G17" i="19"/>
  <c r="F13" i="18"/>
  <c r="G16" i="19"/>
  <c r="F7" i="20"/>
  <c r="G10" i="20"/>
  <c r="G13" i="20"/>
  <c r="G12" i="20"/>
  <c r="F16" i="19"/>
  <c r="G8" i="19"/>
  <c r="G8" i="18"/>
  <c r="G13" i="18"/>
  <c r="F12" i="20"/>
  <c r="G14" i="19"/>
  <c r="F9" i="20"/>
  <c r="G9" i="20"/>
  <c r="G13" i="19"/>
  <c r="F9" i="19"/>
  <c r="F15" i="19"/>
  <c r="F12" i="18"/>
  <c r="F9" i="18"/>
  <c r="G10" i="19"/>
  <c r="F11" i="18"/>
  <c r="G12" i="18"/>
  <c r="G8" i="20"/>
  <c r="F13" i="19"/>
  <c r="G7" i="19"/>
  <c r="F8" i="19"/>
  <c r="G11" i="18"/>
  <c r="F8" i="18"/>
  <c r="G12" i="19"/>
  <c r="G7" i="18"/>
  <c r="G15" i="19"/>
  <c r="B56" i="17" l="1"/>
  <c r="B83" i="17"/>
  <c r="B29" i="17"/>
  <c r="G7" i="17"/>
  <c r="G12" i="17"/>
  <c r="G17" i="17"/>
  <c r="F20" i="17"/>
  <c r="G18" i="17"/>
  <c r="F7" i="17"/>
  <c r="F10" i="17"/>
  <c r="G21" i="17"/>
  <c r="G16" i="17"/>
  <c r="F9" i="17"/>
  <c r="G8" i="17"/>
  <c r="F11" i="17"/>
  <c r="F17" i="17"/>
  <c r="F19" i="17"/>
  <c r="G14" i="17"/>
  <c r="F23" i="17"/>
  <c r="G15" i="17"/>
  <c r="G23" i="17"/>
  <c r="F18" i="17"/>
  <c r="G11" i="17"/>
  <c r="F21" i="17"/>
  <c r="F15" i="17"/>
  <c r="G20" i="17"/>
  <c r="F8" i="17"/>
  <c r="F13" i="17"/>
  <c r="F16" i="17"/>
  <c r="G19" i="17"/>
  <c r="G10" i="17"/>
  <c r="G22" i="17"/>
  <c r="F12" i="17"/>
  <c r="F22" i="17"/>
  <c r="F14" i="17"/>
  <c r="G9" i="17"/>
  <c r="G13" i="17"/>
</calcChain>
</file>

<file path=xl/sharedStrings.xml><?xml version="1.0" encoding="utf-8"?>
<sst xmlns="http://schemas.openxmlformats.org/spreadsheetml/2006/main" count="254" uniqueCount="81">
  <si>
    <t>Table List</t>
  </si>
  <si>
    <t>No</t>
  </si>
  <si>
    <t>Logical Table Name</t>
  </si>
  <si>
    <t>Pyshical Table Name</t>
  </si>
  <si>
    <t>Remark</t>
  </si>
  <si>
    <t/>
  </si>
  <si>
    <t>Column info</t>
  </si>
  <si>
    <t>Physical Name</t>
  </si>
  <si>
    <t>Data Type</t>
  </si>
  <si>
    <t>Not Null</t>
  </si>
  <si>
    <t>Default</t>
  </si>
  <si>
    <t>Yes (PK)</t>
  </si>
  <si>
    <t>int</t>
  </si>
  <si>
    <t>Yes</t>
  </si>
  <si>
    <t>0</t>
  </si>
  <si>
    <t>role_id</t>
  </si>
  <si>
    <t>user_name</t>
  </si>
  <si>
    <t>password</t>
  </si>
  <si>
    <t>varchar(150)</t>
  </si>
  <si>
    <t>full_name</t>
  </si>
  <si>
    <t>tinyint(1)</t>
  </si>
  <si>
    <t>date</t>
  </si>
  <si>
    <t>varchar(20)</t>
  </si>
  <si>
    <t>varchar(255)</t>
  </si>
  <si>
    <t>email</t>
  </si>
  <si>
    <t>phone</t>
  </si>
  <si>
    <t>address</t>
  </si>
  <si>
    <t>text</t>
  </si>
  <si>
    <t>1</t>
  </si>
  <si>
    <t>img</t>
  </si>
  <si>
    <t>double</t>
  </si>
  <si>
    <t>Java type</t>
  </si>
  <si>
    <t>Java attributes</t>
  </si>
  <si>
    <t>Java type mapping</t>
  </si>
  <si>
    <t>Java Type</t>
  </si>
  <si>
    <t>varchar</t>
  </si>
  <si>
    <t>tinyint</t>
  </si>
  <si>
    <t>longtext</t>
  </si>
  <si>
    <t>Integer</t>
  </si>
  <si>
    <t>bigint</t>
  </si>
  <si>
    <t>Long</t>
  </si>
  <si>
    <t>String</t>
  </si>
  <si>
    <t>Boolean</t>
  </si>
  <si>
    <t>Date</t>
  </si>
  <si>
    <t>Double</t>
  </si>
  <si>
    <t>Table info</t>
  </si>
  <si>
    <t>Java class name</t>
  </si>
  <si>
    <t>Code generation</t>
  </si>
  <si>
    <t>varchar(50)</t>
  </si>
  <si>
    <t>name</t>
  </si>
  <si>
    <t>description</t>
  </si>
  <si>
    <t>user</t>
  </si>
  <si>
    <t>datetime</t>
  </si>
  <si>
    <t>id</t>
  </si>
  <si>
    <t>created_at</t>
  </si>
  <si>
    <t>User</t>
  </si>
  <si>
    <t>int(11)</t>
  </si>
  <si>
    <t>remark</t>
  </si>
  <si>
    <t>login_ip</t>
  </si>
  <si>
    <t>varchar(128)</t>
  </si>
  <si>
    <t>login_date</t>
  </si>
  <si>
    <t>del_flag</t>
  </si>
  <si>
    <t>version</t>
  </si>
  <si>
    <t>updated_at</t>
  </si>
  <si>
    <t>updated_by</t>
  </si>
  <si>
    <t>bigint(20) auto_increment</t>
  </si>
  <si>
    <t>bigint(20)</t>
  </si>
  <si>
    <t>role</t>
  </si>
  <si>
    <t>Role</t>
  </si>
  <si>
    <t>permission</t>
  </si>
  <si>
    <t>Permission</t>
  </si>
  <si>
    <t>screen_id</t>
  </si>
  <si>
    <t>screen_name</t>
  </si>
  <si>
    <t>function_id</t>
  </si>
  <si>
    <t>function_name</t>
  </si>
  <si>
    <t>action_id</t>
  </si>
  <si>
    <t>action_name</t>
  </si>
  <si>
    <t>permission_id</t>
  </si>
  <si>
    <t>display_operation_control</t>
  </si>
  <si>
    <t>role_permission</t>
  </si>
  <si>
    <t>RolePermission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</si>
</sst>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b/>
      <sz val="9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87E7AD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medium">
        <color indexed="64"/>
      </right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44">
    <xf numFmtId="0" fontId="0" fillId="0" borderId="0" xfId="0"/>
    <xf numFmtId="0" fontId="1" fillId="0" borderId="0" xfId="0" applyFont="1"/>
    <xf numFmtId="0" fontId="2" fillId="0" borderId="0" xfId="0" applyFont="1"/>
    <xf numFmtId="0" fontId="3" fillId="2" borderId="4" xfId="0" applyFont="1" applyFill="1" applyBorder="1"/>
    <xf numFmtId="0" fontId="3" fillId="2" borderId="5" xfId="0" applyFont="1" applyFill="1" applyBorder="1"/>
    <xf numFmtId="0" fontId="3" fillId="2" borderId="6" xfId="0" applyFont="1" applyFill="1" applyBorder="1"/>
    <xf numFmtId="0" fontId="1" fillId="0" borderId="10" xfId="0" applyNumberFormat="1" applyFont="1" applyBorder="1"/>
    <xf numFmtId="0" fontId="1" fillId="0" borderId="8" xfId="0" applyNumberFormat="1" applyFont="1" applyBorder="1"/>
    <xf numFmtId="0" fontId="2" fillId="0" borderId="0" xfId="0" applyNumberFormat="1" applyFont="1"/>
    <xf numFmtId="0" fontId="1" fillId="0" borderId="0" xfId="0" applyNumberFormat="1" applyFont="1"/>
    <xf numFmtId="0" fontId="3" fillId="2" borderId="4" xfId="0" applyNumberFormat="1" applyFont="1" applyFill="1" applyBorder="1"/>
    <xf numFmtId="0" fontId="3" fillId="2" borderId="5" xfId="0" applyNumberFormat="1" applyFont="1" applyFill="1" applyBorder="1"/>
    <xf numFmtId="0" fontId="3" fillId="2" borderId="6" xfId="0" applyNumberFormat="1" applyFont="1" applyFill="1" applyBorder="1"/>
    <xf numFmtId="0" fontId="1" fillId="0" borderId="12" xfId="0" applyNumberFormat="1" applyFont="1" applyBorder="1"/>
    <xf numFmtId="0" fontId="1" fillId="0" borderId="0" xfId="0" quotePrefix="1" applyNumberFormat="1" applyFont="1"/>
    <xf numFmtId="0" fontId="1" fillId="0" borderId="2" xfId="0" applyNumberFormat="1" applyFont="1" applyBorder="1"/>
    <xf numFmtId="0" fontId="1" fillId="0" borderId="3" xfId="0" applyNumberFormat="1" applyFont="1" applyBorder="1"/>
    <xf numFmtId="0" fontId="2" fillId="0" borderId="0" xfId="0" applyNumberFormat="1" applyFont="1" applyAlignment="1">
      <alignment vertical="center"/>
    </xf>
    <xf numFmtId="0" fontId="1" fillId="0" borderId="0" xfId="0" applyNumberFormat="1" applyFont="1" applyAlignment="1">
      <alignment vertical="center"/>
    </xf>
    <xf numFmtId="49" fontId="1" fillId="0" borderId="10" xfId="0" applyNumberFormat="1" applyFont="1" applyBorder="1"/>
    <xf numFmtId="49" fontId="1" fillId="0" borderId="10" xfId="0" quotePrefix="1" applyNumberFormat="1" applyFont="1" applyBorder="1"/>
    <xf numFmtId="49" fontId="1" fillId="0" borderId="8" xfId="0" applyNumberFormat="1" applyFont="1" applyBorder="1"/>
    <xf numFmtId="49" fontId="1" fillId="0" borderId="8" xfId="0" quotePrefix="1" applyNumberFormat="1" applyFont="1" applyBorder="1"/>
    <xf numFmtId="49" fontId="1" fillId="0" borderId="1" xfId="0" applyNumberFormat="1" applyFont="1" applyBorder="1"/>
    <xf numFmtId="49" fontId="1" fillId="0" borderId="1" xfId="0" quotePrefix="1" applyNumberFormat="1" applyFont="1" applyBorder="1"/>
    <xf numFmtId="0" fontId="1" fillId="0" borderId="9" xfId="0" applyFont="1" applyBorder="1"/>
    <xf numFmtId="0" fontId="1" fillId="0" borderId="7" xfId="0" applyFont="1" applyBorder="1"/>
    <xf numFmtId="0" fontId="1" fillId="0" borderId="10" xfId="0" applyFont="1" applyBorder="1"/>
    <xf numFmtId="0" fontId="1" fillId="0" borderId="11" xfId="0" quotePrefix="1" applyFont="1" applyBorder="1"/>
    <xf numFmtId="0" fontId="1" fillId="0" borderId="0" xfId="0" applyNumberFormat="1" applyFont="1" applyBorder="1"/>
    <xf numFmtId="49" fontId="1" fillId="0" borderId="0" xfId="0" applyNumberFormat="1" applyFont="1" applyBorder="1"/>
    <xf numFmtId="49" fontId="1" fillId="0" borderId="0" xfId="0" quotePrefix="1" applyNumberFormat="1" applyFont="1" applyBorder="1"/>
    <xf numFmtId="0" fontId="1" fillId="0" borderId="0" xfId="0" quotePrefix="1" applyNumberFormat="1" applyFont="1" applyBorder="1"/>
    <xf numFmtId="0" fontId="6" fillId="0" borderId="0" xfId="1" applyNumberFormat="1" applyFont="1" applyAlignment="1">
      <alignment horizontal="center" vertical="center"/>
    </xf>
    <xf numFmtId="0" fontId="4" fillId="0" borderId="13" xfId="1" applyBorder="1"/>
    <xf numFmtId="0" fontId="1" fillId="0" borderId="14" xfId="0" applyFont="1" applyBorder="1"/>
    <xf numFmtId="0" fontId="1" fillId="0" borderId="16" xfId="0" applyFont="1" applyBorder="1"/>
    <xf numFmtId="0" fontId="1" fillId="0" borderId="17" xfId="0" applyFont="1" applyBorder="1"/>
    <xf numFmtId="0" fontId="1" fillId="0" borderId="18" xfId="0" applyFont="1" applyBorder="1"/>
    <xf numFmtId="0" fontId="1" fillId="0" borderId="19" xfId="0" applyFont="1" applyBorder="1"/>
    <xf numFmtId="0" fontId="1" fillId="0" borderId="20" xfId="0" applyFont="1" applyBorder="1"/>
    <xf numFmtId="0" fontId="5" fillId="0" borderId="17" xfId="1" applyFont="1" applyBorder="1"/>
    <xf numFmtId="0" fontId="5" fillId="0" borderId="19" xfId="1" applyFont="1" applyBorder="1"/>
    <xf numFmtId="0" fontId="0" fillId="0" borderId="15" xfId="0" applyFont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7" Type="http://schemas.openxmlformats.org/officeDocument/2006/relationships/image" Target="../media/image14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13.emf"/><Relationship Id="rId5" Type="http://schemas.openxmlformats.org/officeDocument/2006/relationships/image" Target="../media/image12.emf"/><Relationship Id="rId4" Type="http://schemas.openxmlformats.org/officeDocument/2006/relationships/image" Target="../media/image11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7" Type="http://schemas.openxmlformats.org/officeDocument/2006/relationships/image" Target="../media/image21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Relationship Id="rId6" Type="http://schemas.openxmlformats.org/officeDocument/2006/relationships/image" Target="../media/image20.emf"/><Relationship Id="rId5" Type="http://schemas.openxmlformats.org/officeDocument/2006/relationships/image" Target="../media/image19.emf"/><Relationship Id="rId4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7" Type="http://schemas.openxmlformats.org/officeDocument/2006/relationships/image" Target="../media/image22.emf"/><Relationship Id="rId2" Type="http://schemas.openxmlformats.org/officeDocument/2006/relationships/image" Target="../media/image27.emf"/><Relationship Id="rId1" Type="http://schemas.openxmlformats.org/officeDocument/2006/relationships/image" Target="../media/image28.emf"/><Relationship Id="rId6" Type="http://schemas.openxmlformats.org/officeDocument/2006/relationships/image" Target="../media/image23.emf"/><Relationship Id="rId5" Type="http://schemas.openxmlformats.org/officeDocument/2006/relationships/image" Target="../media/image24.emf"/><Relationship Id="rId4" Type="http://schemas.openxmlformats.org/officeDocument/2006/relationships/image" Target="../media/image2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21</xdr:row>
          <xdr:rowOff>22860</xdr:rowOff>
        </xdr:from>
        <xdr:to>
          <xdr:col>6</xdr:col>
          <xdr:colOff>419100</xdr:colOff>
          <xdr:row>43</xdr:row>
          <xdr:rowOff>60960</xdr:rowOff>
        </xdr:to>
        <xdr:sp macro="" textlink="">
          <xdr:nvSpPr>
            <xdr:cNvPr id="28673" name="txtModel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="" xmlns:a16="http://schemas.microsoft.com/office/drawing/2014/main" id="{52ED8102-0E81-4971-8441-190E6EE0D8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48</xdr:row>
          <xdr:rowOff>22860</xdr:rowOff>
        </xdr:from>
        <xdr:to>
          <xdr:col>6</xdr:col>
          <xdr:colOff>419100</xdr:colOff>
          <xdr:row>71</xdr:row>
          <xdr:rowOff>22860</xdr:rowOff>
        </xdr:to>
        <xdr:sp macro="" textlink="">
          <xdr:nvSpPr>
            <xdr:cNvPr id="28674" name="txtMapperJava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="" xmlns:a16="http://schemas.microsoft.com/office/drawing/2014/main" id="{E53E2578-E6D7-44B9-A10D-215DCAECB5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75</xdr:row>
          <xdr:rowOff>7620</xdr:rowOff>
        </xdr:from>
        <xdr:to>
          <xdr:col>6</xdr:col>
          <xdr:colOff>419100</xdr:colOff>
          <xdr:row>98</xdr:row>
          <xdr:rowOff>22860</xdr:rowOff>
        </xdr:to>
        <xdr:sp macro="" textlink="">
          <xdr:nvSpPr>
            <xdr:cNvPr id="28675" name="txtMapperXml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="" xmlns:a16="http://schemas.microsoft.com/office/drawing/2014/main" id="{64AFFFE1-884B-44F0-A843-6A32ED43EE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</xdr:colOff>
          <xdr:row>18</xdr:row>
          <xdr:rowOff>7620</xdr:rowOff>
        </xdr:from>
        <xdr:to>
          <xdr:col>3</xdr:col>
          <xdr:colOff>60960</xdr:colOff>
          <xdr:row>19</xdr:row>
          <xdr:rowOff>137160</xdr:rowOff>
        </xdr:to>
        <xdr:sp macro="" textlink="">
          <xdr:nvSpPr>
            <xdr:cNvPr id="28676" name="btnGenCode" hidden="1">
              <a:extLst>
                <a:ext uri="{63B3BB69-23CF-44E3-9099-C40C66FF867C}">
                  <a14:compatExt spid="_x0000_s28676"/>
                </a:ext>
                <a:ext uri="{FF2B5EF4-FFF2-40B4-BE49-F238E27FC236}">
                  <a16:creationId xmlns="" xmlns:a16="http://schemas.microsoft.com/office/drawing/2014/main" id="{B565EE0A-1F75-4098-9F87-8C387118FB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45720</xdr:colOff>
          <xdr:row>31</xdr:row>
          <xdr:rowOff>7620</xdr:rowOff>
        </xdr:from>
        <xdr:to>
          <xdr:col>8</xdr:col>
          <xdr:colOff>190500</xdr:colOff>
          <xdr:row>32</xdr:row>
          <xdr:rowOff>106680</xdr:rowOff>
        </xdr:to>
        <xdr:sp macro="" textlink="">
          <xdr:nvSpPr>
            <xdr:cNvPr id="28677" name="btnCopyModel" hidden="1">
              <a:extLst>
                <a:ext uri="{63B3BB69-23CF-44E3-9099-C40C66FF867C}">
                  <a14:compatExt spid="_x0000_s28677"/>
                </a:ext>
                <a:ext uri="{FF2B5EF4-FFF2-40B4-BE49-F238E27FC236}">
                  <a16:creationId xmlns="" xmlns:a16="http://schemas.microsoft.com/office/drawing/2014/main" id="{7260911E-3053-4454-8A2C-52670B594C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45720</xdr:colOff>
          <xdr:row>58</xdr:row>
          <xdr:rowOff>7620</xdr:rowOff>
        </xdr:from>
        <xdr:to>
          <xdr:col>8</xdr:col>
          <xdr:colOff>190500</xdr:colOff>
          <xdr:row>59</xdr:row>
          <xdr:rowOff>106680</xdr:rowOff>
        </xdr:to>
        <xdr:sp macro="" textlink="">
          <xdr:nvSpPr>
            <xdr:cNvPr id="28678" name="btnCopyMapperJava" hidden="1">
              <a:extLst>
                <a:ext uri="{63B3BB69-23CF-44E3-9099-C40C66FF867C}">
                  <a14:compatExt spid="_x0000_s28678"/>
                </a:ext>
                <a:ext uri="{FF2B5EF4-FFF2-40B4-BE49-F238E27FC236}">
                  <a16:creationId xmlns="" xmlns:a16="http://schemas.microsoft.com/office/drawing/2014/main" id="{1FA59BFD-EE22-4406-9C11-32646AD310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45720</xdr:colOff>
          <xdr:row>85</xdr:row>
          <xdr:rowOff>7620</xdr:rowOff>
        </xdr:from>
        <xdr:to>
          <xdr:col>8</xdr:col>
          <xdr:colOff>190500</xdr:colOff>
          <xdr:row>86</xdr:row>
          <xdr:rowOff>106680</xdr:rowOff>
        </xdr:to>
        <xdr:sp macro="" textlink="">
          <xdr:nvSpPr>
            <xdr:cNvPr id="28679" name="btnCopyMapperXml" hidden="1">
              <a:extLst>
                <a:ext uri="{63B3BB69-23CF-44E3-9099-C40C66FF867C}">
                  <a14:compatExt spid="_x0000_s28679"/>
                </a:ext>
                <a:ext uri="{FF2B5EF4-FFF2-40B4-BE49-F238E27FC236}">
                  <a16:creationId xmlns="" xmlns:a16="http://schemas.microsoft.com/office/drawing/2014/main" id="{DA47789B-A350-4EF0-956B-905C57E882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24</xdr:row>
          <xdr:rowOff>22860</xdr:rowOff>
        </xdr:from>
        <xdr:to>
          <xdr:col>6</xdr:col>
          <xdr:colOff>419100</xdr:colOff>
          <xdr:row>46</xdr:row>
          <xdr:rowOff>60960</xdr:rowOff>
        </xdr:to>
        <xdr:sp macro="" textlink="">
          <xdr:nvSpPr>
            <xdr:cNvPr id="29697" name="txtModel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="" xmlns:a16="http://schemas.microsoft.com/office/drawing/2014/main" id="{52ED8102-0E81-4971-8441-190E6EE0D8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51</xdr:row>
          <xdr:rowOff>22860</xdr:rowOff>
        </xdr:from>
        <xdr:to>
          <xdr:col>6</xdr:col>
          <xdr:colOff>419100</xdr:colOff>
          <xdr:row>74</xdr:row>
          <xdr:rowOff>22860</xdr:rowOff>
        </xdr:to>
        <xdr:sp macro="" textlink="">
          <xdr:nvSpPr>
            <xdr:cNvPr id="29698" name="txtMapperJava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="" xmlns:a16="http://schemas.microsoft.com/office/drawing/2014/main" id="{E53E2578-E6D7-44B9-A10D-215DCAECB5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78</xdr:row>
          <xdr:rowOff>7620</xdr:rowOff>
        </xdr:from>
        <xdr:to>
          <xdr:col>6</xdr:col>
          <xdr:colOff>419100</xdr:colOff>
          <xdr:row>101</xdr:row>
          <xdr:rowOff>22860</xdr:rowOff>
        </xdr:to>
        <xdr:sp macro="" textlink="">
          <xdr:nvSpPr>
            <xdr:cNvPr id="29699" name="txtMapperXml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="" xmlns:a16="http://schemas.microsoft.com/office/drawing/2014/main" id="{64AFFFE1-884B-44F0-A843-6A32ED43EE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</xdr:colOff>
          <xdr:row>21</xdr:row>
          <xdr:rowOff>7620</xdr:rowOff>
        </xdr:from>
        <xdr:to>
          <xdr:col>3</xdr:col>
          <xdr:colOff>60960</xdr:colOff>
          <xdr:row>22</xdr:row>
          <xdr:rowOff>137160</xdr:rowOff>
        </xdr:to>
        <xdr:sp macro="" textlink="">
          <xdr:nvSpPr>
            <xdr:cNvPr id="29700" name="btnGenCode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="" xmlns:a16="http://schemas.microsoft.com/office/drawing/2014/main" id="{B565EE0A-1F75-4098-9F87-8C387118FB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45720</xdr:colOff>
          <xdr:row>34</xdr:row>
          <xdr:rowOff>7620</xdr:rowOff>
        </xdr:from>
        <xdr:to>
          <xdr:col>8</xdr:col>
          <xdr:colOff>190500</xdr:colOff>
          <xdr:row>35</xdr:row>
          <xdr:rowOff>106680</xdr:rowOff>
        </xdr:to>
        <xdr:sp macro="" textlink="">
          <xdr:nvSpPr>
            <xdr:cNvPr id="29701" name="btnCopyModel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="" xmlns:a16="http://schemas.microsoft.com/office/drawing/2014/main" id="{7260911E-3053-4454-8A2C-52670B594C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45720</xdr:colOff>
          <xdr:row>61</xdr:row>
          <xdr:rowOff>7620</xdr:rowOff>
        </xdr:from>
        <xdr:to>
          <xdr:col>8</xdr:col>
          <xdr:colOff>190500</xdr:colOff>
          <xdr:row>62</xdr:row>
          <xdr:rowOff>106680</xdr:rowOff>
        </xdr:to>
        <xdr:sp macro="" textlink="">
          <xdr:nvSpPr>
            <xdr:cNvPr id="29702" name="btnCopyMapperJava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="" xmlns:a16="http://schemas.microsoft.com/office/drawing/2014/main" id="{1FA59BFD-EE22-4406-9C11-32646AD310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45720</xdr:colOff>
          <xdr:row>88</xdr:row>
          <xdr:rowOff>7620</xdr:rowOff>
        </xdr:from>
        <xdr:to>
          <xdr:col>8</xdr:col>
          <xdr:colOff>190500</xdr:colOff>
          <xdr:row>89</xdr:row>
          <xdr:rowOff>106680</xdr:rowOff>
        </xdr:to>
        <xdr:sp macro="" textlink="">
          <xdr:nvSpPr>
            <xdr:cNvPr id="29703" name="btnCopyMapperXml" hidden="1">
              <a:extLst>
                <a:ext uri="{63B3BB69-23CF-44E3-9099-C40C66FF867C}">
                  <a14:compatExt spid="_x0000_s29703"/>
                </a:ext>
                <a:ext uri="{FF2B5EF4-FFF2-40B4-BE49-F238E27FC236}">
                  <a16:creationId xmlns="" xmlns:a16="http://schemas.microsoft.com/office/drawing/2014/main" id="{DA47789B-A350-4EF0-956B-905C57E882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20</xdr:row>
          <xdr:rowOff>22860</xdr:rowOff>
        </xdr:from>
        <xdr:to>
          <xdr:col>6</xdr:col>
          <xdr:colOff>419100</xdr:colOff>
          <xdr:row>42</xdr:row>
          <xdr:rowOff>60960</xdr:rowOff>
        </xdr:to>
        <xdr:sp macro="" textlink="">
          <xdr:nvSpPr>
            <xdr:cNvPr id="30721" name="txtModel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="" xmlns:a16="http://schemas.microsoft.com/office/drawing/2014/main" id="{52ED8102-0E81-4971-8441-190E6EE0D8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22860</xdr:rowOff>
        </xdr:from>
        <xdr:to>
          <xdr:col>6</xdr:col>
          <xdr:colOff>419100</xdr:colOff>
          <xdr:row>70</xdr:row>
          <xdr:rowOff>22860</xdr:rowOff>
        </xdr:to>
        <xdr:sp macro="" textlink="">
          <xdr:nvSpPr>
            <xdr:cNvPr id="30722" name="txtMapperJava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="" xmlns:a16="http://schemas.microsoft.com/office/drawing/2014/main" id="{E53E2578-E6D7-44B9-A10D-215DCAECB5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74</xdr:row>
          <xdr:rowOff>7620</xdr:rowOff>
        </xdr:from>
        <xdr:to>
          <xdr:col>6</xdr:col>
          <xdr:colOff>419100</xdr:colOff>
          <xdr:row>97</xdr:row>
          <xdr:rowOff>22860</xdr:rowOff>
        </xdr:to>
        <xdr:sp macro="" textlink="">
          <xdr:nvSpPr>
            <xdr:cNvPr id="30723" name="txtMapperXml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="" xmlns:a16="http://schemas.microsoft.com/office/drawing/2014/main" id="{64AFFFE1-884B-44F0-A843-6A32ED43EE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</xdr:colOff>
          <xdr:row>17</xdr:row>
          <xdr:rowOff>7620</xdr:rowOff>
        </xdr:from>
        <xdr:to>
          <xdr:col>3</xdr:col>
          <xdr:colOff>60960</xdr:colOff>
          <xdr:row>18</xdr:row>
          <xdr:rowOff>137160</xdr:rowOff>
        </xdr:to>
        <xdr:sp macro="" textlink="">
          <xdr:nvSpPr>
            <xdr:cNvPr id="30724" name="btnGenCode" hidden="1">
              <a:extLst>
                <a:ext uri="{63B3BB69-23CF-44E3-9099-C40C66FF867C}">
                  <a14:compatExt spid="_x0000_s30724"/>
                </a:ext>
                <a:ext uri="{FF2B5EF4-FFF2-40B4-BE49-F238E27FC236}">
                  <a16:creationId xmlns="" xmlns:a16="http://schemas.microsoft.com/office/drawing/2014/main" id="{B565EE0A-1F75-4098-9F87-8C387118FB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45720</xdr:colOff>
          <xdr:row>30</xdr:row>
          <xdr:rowOff>7620</xdr:rowOff>
        </xdr:from>
        <xdr:to>
          <xdr:col>8</xdr:col>
          <xdr:colOff>190500</xdr:colOff>
          <xdr:row>31</xdr:row>
          <xdr:rowOff>106680</xdr:rowOff>
        </xdr:to>
        <xdr:sp macro="" textlink="">
          <xdr:nvSpPr>
            <xdr:cNvPr id="30725" name="btnCopyModel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="" xmlns:a16="http://schemas.microsoft.com/office/drawing/2014/main" id="{7260911E-3053-4454-8A2C-52670B594C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45720</xdr:colOff>
          <xdr:row>57</xdr:row>
          <xdr:rowOff>7620</xdr:rowOff>
        </xdr:from>
        <xdr:to>
          <xdr:col>8</xdr:col>
          <xdr:colOff>190500</xdr:colOff>
          <xdr:row>58</xdr:row>
          <xdr:rowOff>106680</xdr:rowOff>
        </xdr:to>
        <xdr:sp macro="" textlink="">
          <xdr:nvSpPr>
            <xdr:cNvPr id="30726" name="btnCopyMapperJava" hidden="1">
              <a:extLst>
                <a:ext uri="{63B3BB69-23CF-44E3-9099-C40C66FF867C}">
                  <a14:compatExt spid="_x0000_s30726"/>
                </a:ext>
                <a:ext uri="{FF2B5EF4-FFF2-40B4-BE49-F238E27FC236}">
                  <a16:creationId xmlns="" xmlns:a16="http://schemas.microsoft.com/office/drawing/2014/main" id="{1FA59BFD-EE22-4406-9C11-32646AD310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45720</xdr:colOff>
          <xdr:row>84</xdr:row>
          <xdr:rowOff>7620</xdr:rowOff>
        </xdr:from>
        <xdr:to>
          <xdr:col>8</xdr:col>
          <xdr:colOff>190500</xdr:colOff>
          <xdr:row>85</xdr:row>
          <xdr:rowOff>106680</xdr:rowOff>
        </xdr:to>
        <xdr:sp macro="" textlink="">
          <xdr:nvSpPr>
            <xdr:cNvPr id="30727" name="btnCopyMapperXml" hidden="1">
              <a:extLst>
                <a:ext uri="{63B3BB69-23CF-44E3-9099-C40C66FF867C}">
                  <a14:compatExt spid="_x0000_s30727"/>
                </a:ext>
                <a:ext uri="{FF2B5EF4-FFF2-40B4-BE49-F238E27FC236}">
                  <a16:creationId xmlns="" xmlns:a16="http://schemas.microsoft.com/office/drawing/2014/main" id="{DA47789B-A350-4EF0-956B-905C57E882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30</xdr:row>
          <xdr:rowOff>22860</xdr:rowOff>
        </xdr:from>
        <xdr:to>
          <xdr:col>6</xdr:col>
          <xdr:colOff>297180</xdr:colOff>
          <xdr:row>52</xdr:row>
          <xdr:rowOff>53340</xdr:rowOff>
        </xdr:to>
        <xdr:sp macro="" textlink="">
          <xdr:nvSpPr>
            <xdr:cNvPr id="25601" name="txtModel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="" xmlns:a16="http://schemas.microsoft.com/office/drawing/2014/main" id="{52ED8102-0E81-4971-8441-190E6EE0D8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57</xdr:row>
          <xdr:rowOff>22860</xdr:rowOff>
        </xdr:from>
        <xdr:to>
          <xdr:col>6</xdr:col>
          <xdr:colOff>297180</xdr:colOff>
          <xdr:row>80</xdr:row>
          <xdr:rowOff>22860</xdr:rowOff>
        </xdr:to>
        <xdr:sp macro="" textlink="">
          <xdr:nvSpPr>
            <xdr:cNvPr id="25602" name="txtMapperJava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="" xmlns:a16="http://schemas.microsoft.com/office/drawing/2014/main" id="{E53E2578-E6D7-44B9-A10D-215DCAECB5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84</xdr:row>
          <xdr:rowOff>7620</xdr:rowOff>
        </xdr:from>
        <xdr:to>
          <xdr:col>6</xdr:col>
          <xdr:colOff>297180</xdr:colOff>
          <xdr:row>107</xdr:row>
          <xdr:rowOff>15240</xdr:rowOff>
        </xdr:to>
        <xdr:sp macro="" textlink="">
          <xdr:nvSpPr>
            <xdr:cNvPr id="25603" name="txtMapperXml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="" xmlns:a16="http://schemas.microsoft.com/office/drawing/2014/main" id="{64AFFFE1-884B-44F0-A843-6A32ED43EE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</xdr:colOff>
          <xdr:row>27</xdr:row>
          <xdr:rowOff>7620</xdr:rowOff>
        </xdr:from>
        <xdr:to>
          <xdr:col>3</xdr:col>
          <xdr:colOff>30480</xdr:colOff>
          <xdr:row>28</xdr:row>
          <xdr:rowOff>129540</xdr:rowOff>
        </xdr:to>
        <xdr:sp macro="" textlink="">
          <xdr:nvSpPr>
            <xdr:cNvPr id="25604" name="btnGenCode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="" xmlns:a16="http://schemas.microsoft.com/office/drawing/2014/main" id="{B565EE0A-1F75-4098-9F87-8C387118FB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45720</xdr:colOff>
          <xdr:row>40</xdr:row>
          <xdr:rowOff>7620</xdr:rowOff>
        </xdr:from>
        <xdr:to>
          <xdr:col>8</xdr:col>
          <xdr:colOff>167640</xdr:colOff>
          <xdr:row>41</xdr:row>
          <xdr:rowOff>106680</xdr:rowOff>
        </xdr:to>
        <xdr:sp macro="" textlink="">
          <xdr:nvSpPr>
            <xdr:cNvPr id="25605" name="btnCopyModel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="" xmlns:a16="http://schemas.microsoft.com/office/drawing/2014/main" id="{7260911E-3053-4454-8A2C-52670B594C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45720</xdr:colOff>
          <xdr:row>67</xdr:row>
          <xdr:rowOff>7620</xdr:rowOff>
        </xdr:from>
        <xdr:to>
          <xdr:col>8</xdr:col>
          <xdr:colOff>167640</xdr:colOff>
          <xdr:row>68</xdr:row>
          <xdr:rowOff>106680</xdr:rowOff>
        </xdr:to>
        <xdr:sp macro="" textlink="">
          <xdr:nvSpPr>
            <xdr:cNvPr id="25606" name="btnCopyMapperJava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="" xmlns:a16="http://schemas.microsoft.com/office/drawing/2014/main" id="{1FA59BFD-EE22-4406-9C11-32646AD310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45720</xdr:colOff>
          <xdr:row>94</xdr:row>
          <xdr:rowOff>7620</xdr:rowOff>
        </xdr:from>
        <xdr:to>
          <xdr:col>8</xdr:col>
          <xdr:colOff>167640</xdr:colOff>
          <xdr:row>95</xdr:row>
          <xdr:rowOff>106680</xdr:rowOff>
        </xdr:to>
        <xdr:sp macro="" textlink="">
          <xdr:nvSpPr>
            <xdr:cNvPr id="25607" name="btnCopyMapperXml" hidden="1">
              <a:extLst>
                <a:ext uri="{63B3BB69-23CF-44E3-9099-C40C66FF867C}">
                  <a14:compatExt spid="_x0000_s25607"/>
                </a:ext>
                <a:ext uri="{FF2B5EF4-FFF2-40B4-BE49-F238E27FC236}">
                  <a16:creationId xmlns="" xmlns:a16="http://schemas.microsoft.com/office/drawing/2014/main" id="{DA47789B-A350-4EF0-956B-905C57E882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13" Type="http://schemas.openxmlformats.org/officeDocument/2006/relationships/image" Target="../media/image12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9.emf"/><Relationship Id="rId12" Type="http://schemas.openxmlformats.org/officeDocument/2006/relationships/control" Target="../activeX/activeX12.xml"/><Relationship Id="rId17" Type="http://schemas.openxmlformats.org/officeDocument/2006/relationships/image" Target="../media/image1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4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9.xml"/><Relationship Id="rId11" Type="http://schemas.openxmlformats.org/officeDocument/2006/relationships/image" Target="../media/image11.emf"/><Relationship Id="rId5" Type="http://schemas.openxmlformats.org/officeDocument/2006/relationships/image" Target="../media/image8.emf"/><Relationship Id="rId15" Type="http://schemas.openxmlformats.org/officeDocument/2006/relationships/image" Target="../media/image13.emf"/><Relationship Id="rId10" Type="http://schemas.openxmlformats.org/officeDocument/2006/relationships/control" Target="../activeX/activeX11.xml"/><Relationship Id="rId4" Type="http://schemas.openxmlformats.org/officeDocument/2006/relationships/control" Target="../activeX/activeX8.xml"/><Relationship Id="rId9" Type="http://schemas.openxmlformats.org/officeDocument/2006/relationships/image" Target="../media/image10.emf"/><Relationship Id="rId14" Type="http://schemas.openxmlformats.org/officeDocument/2006/relationships/control" Target="../activeX/activeX1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12" Type="http://schemas.openxmlformats.org/officeDocument/2006/relationships/control" Target="../activeX/activeX19.xml"/><Relationship Id="rId17" Type="http://schemas.openxmlformats.org/officeDocument/2006/relationships/image" Target="../media/image21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21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5" Type="http://schemas.openxmlformats.org/officeDocument/2006/relationships/image" Target="../media/image20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Relationship Id="rId14" Type="http://schemas.openxmlformats.org/officeDocument/2006/relationships/control" Target="../activeX/activeX20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.xml"/><Relationship Id="rId13" Type="http://schemas.openxmlformats.org/officeDocument/2006/relationships/image" Target="../media/image26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23.emf"/><Relationship Id="rId12" Type="http://schemas.openxmlformats.org/officeDocument/2006/relationships/control" Target="../activeX/activeX26.xml"/><Relationship Id="rId17" Type="http://schemas.openxmlformats.org/officeDocument/2006/relationships/image" Target="../media/image28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28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3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5" Type="http://schemas.openxmlformats.org/officeDocument/2006/relationships/image" Target="../media/image27.emf"/><Relationship Id="rId10" Type="http://schemas.openxmlformats.org/officeDocument/2006/relationships/control" Target="../activeX/activeX25.xml"/><Relationship Id="rId4" Type="http://schemas.openxmlformats.org/officeDocument/2006/relationships/control" Target="../activeX/activeX22.xml"/><Relationship Id="rId9" Type="http://schemas.openxmlformats.org/officeDocument/2006/relationships/image" Target="../media/image24.emf"/><Relationship Id="rId14" Type="http://schemas.openxmlformats.org/officeDocument/2006/relationships/control" Target="../activeX/activeX27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D13"/>
  <sheetViews>
    <sheetView workbookViewId="0">
      <selection activeCell="A4" sqref="A4"/>
    </sheetView>
  </sheetViews>
  <sheetFormatPr defaultColWidth="8.88671875" defaultRowHeight="12" x14ac:dyDescent="0.25"/>
  <cols>
    <col min="1" max="1" width="4.6640625" style="1" customWidth="1"/>
    <col min="2" max="2" width="30.6640625" style="1" customWidth="1"/>
    <col min="3" max="3" width="38.44140625" style="1" customWidth="1"/>
    <col min="4" max="4" width="30.6640625" style="1" customWidth="1"/>
    <col min="5" max="16384" width="8.88671875" style="1"/>
  </cols>
  <sheetData>
    <row r="1" spans="1:4" ht="12.6" thickBot="1" x14ac:dyDescent="0.3">
      <c r="A1" s="2" t="s">
        <v>0</v>
      </c>
    </row>
    <row r="2" spans="1:4" x14ac:dyDescent="0.25">
      <c r="A2" s="3" t="s">
        <v>1</v>
      </c>
      <c r="B2" s="4" t="s">
        <v>2</v>
      </c>
      <c r="C2" s="4" t="s">
        <v>3</v>
      </c>
      <c r="D2" s="5" t="s">
        <v>4</v>
      </c>
    </row>
    <row r="3" spans="1:4" ht="14.4" x14ac:dyDescent="0.3">
      <c r="A3" s="34">
        <f>HYPERLINK("#" &amp;$C3 &amp; "!A1", ROW() - 2)</f>
        <v>1</v>
      </c>
      <c r="B3" s="35"/>
      <c r="C3" s="43" t="s">
        <v>51</v>
      </c>
      <c r="D3" s="36"/>
    </row>
    <row r="4" spans="1:4" ht="14.4" x14ac:dyDescent="0.3">
      <c r="A4" s="34">
        <f t="shared" ref="A4:A13" si="0">HYPERLINK("#" &amp;$C4 &amp; "!A1", ROW() - 2)</f>
        <v>2</v>
      </c>
      <c r="B4" s="37"/>
      <c r="C4" s="41" t="s">
        <v>67</v>
      </c>
      <c r="D4" s="38"/>
    </row>
    <row r="5" spans="1:4" ht="14.4" x14ac:dyDescent="0.3">
      <c r="A5" s="34">
        <f t="shared" si="0"/>
        <v>3</v>
      </c>
      <c r="B5" s="37"/>
      <c r="C5" s="41"/>
      <c r="D5" s="38"/>
    </row>
    <row r="6" spans="1:4" ht="14.4" x14ac:dyDescent="0.3">
      <c r="A6" s="34">
        <f t="shared" si="0"/>
        <v>4</v>
      </c>
      <c r="B6" s="37"/>
      <c r="C6" s="41"/>
      <c r="D6" s="38"/>
    </row>
    <row r="7" spans="1:4" ht="14.4" x14ac:dyDescent="0.3">
      <c r="A7" s="34">
        <f t="shared" si="0"/>
        <v>5</v>
      </c>
      <c r="B7" s="37"/>
      <c r="C7" s="41"/>
      <c r="D7" s="38"/>
    </row>
    <row r="8" spans="1:4" ht="14.4" x14ac:dyDescent="0.3">
      <c r="A8" s="34">
        <f t="shared" si="0"/>
        <v>6</v>
      </c>
      <c r="B8" s="37"/>
      <c r="C8" s="41"/>
      <c r="D8" s="38"/>
    </row>
    <row r="9" spans="1:4" ht="14.4" x14ac:dyDescent="0.3">
      <c r="A9" s="34">
        <f t="shared" si="0"/>
        <v>7</v>
      </c>
      <c r="B9" s="37"/>
      <c r="C9" s="41"/>
      <c r="D9" s="38"/>
    </row>
    <row r="10" spans="1:4" ht="14.4" x14ac:dyDescent="0.3">
      <c r="A10" s="34">
        <f t="shared" si="0"/>
        <v>8</v>
      </c>
      <c r="B10" s="37"/>
      <c r="C10" s="41"/>
      <c r="D10" s="38"/>
    </row>
    <row r="11" spans="1:4" ht="14.4" x14ac:dyDescent="0.3">
      <c r="A11" s="34">
        <f t="shared" si="0"/>
        <v>9</v>
      </c>
      <c r="B11" s="37"/>
      <c r="C11" s="41"/>
      <c r="D11" s="38"/>
    </row>
    <row r="12" spans="1:4" ht="14.4" x14ac:dyDescent="0.3">
      <c r="A12" s="34">
        <f t="shared" si="0"/>
        <v>10</v>
      </c>
      <c r="B12" s="37"/>
      <c r="C12" s="41"/>
      <c r="D12" s="38"/>
    </row>
    <row r="13" spans="1:4" ht="15" thickBot="1" x14ac:dyDescent="0.35">
      <c r="A13" s="34">
        <f t="shared" si="0"/>
        <v>11</v>
      </c>
      <c r="B13" s="39"/>
      <c r="C13" s="42"/>
      <c r="D13" s="40"/>
    </row>
  </sheetData>
  <pageMargins left="0.7" right="0.7" top="0.75" bottom="0.75" header="0.3" footer="0.3"/>
  <pageSetup scale="95" fitToHeight="0" orientation="portrait" horizontalDpi="300" verticalDpi="300" r:id="rId1"/>
  <headerFooter>
    <oddHeader>&amp;LTable Definition Document&amp;R&amp;D</oddHeader>
    <oddFooter>&amp;C&amp;P/&amp;N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pageSetUpPr fitToPage="1"/>
  </sheetPr>
  <dimension ref="A1:P74"/>
  <sheetViews>
    <sheetView topLeftCell="A70" workbookViewId="0">
      <selection activeCell="F104" sqref="F104"/>
    </sheetView>
  </sheetViews>
  <sheetFormatPr defaultColWidth="8.88671875" defaultRowHeight="12" x14ac:dyDescent="0.25"/>
  <cols>
    <col min="1" max="1" width="3.6640625" style="9" customWidth="1"/>
    <col min="2" max="2" width="24.6640625" style="9" customWidth="1"/>
    <col min="3" max="3" width="14.6640625" style="9" customWidth="1"/>
    <col min="4" max="5" width="8.6640625" style="9" customWidth="1"/>
    <col min="6" max="6" width="16.6640625" style="9" customWidth="1"/>
    <col min="7" max="7" width="16.33203125" style="9" customWidth="1"/>
    <col min="8" max="16384" width="8.88671875" style="9"/>
  </cols>
  <sheetData>
    <row r="1" spans="1:9" ht="15" thickBot="1" x14ac:dyDescent="0.3">
      <c r="A1" s="33" t="str">
        <f>HYPERLINK("#TableList!A1","〈〉")</f>
        <v>〈〉</v>
      </c>
      <c r="B1" s="8" t="s">
        <v>45</v>
      </c>
    </row>
    <row r="2" spans="1:9" x14ac:dyDescent="0.25">
      <c r="B2" s="10" t="s">
        <v>7</v>
      </c>
      <c r="C2" s="12" t="s">
        <v>46</v>
      </c>
    </row>
    <row r="3" spans="1:9" ht="12.6" thickBot="1" x14ac:dyDescent="0.3">
      <c r="B3" s="15" t="s">
        <v>67</v>
      </c>
      <c r="C3" s="16" t="s">
        <v>68</v>
      </c>
    </row>
    <row r="5" spans="1:9" ht="12.6" thickBot="1" x14ac:dyDescent="0.3">
      <c r="A5" s="8" t="s">
        <v>6</v>
      </c>
    </row>
    <row r="6" spans="1:9" x14ac:dyDescent="0.25">
      <c r="A6" s="3" t="s">
        <v>1</v>
      </c>
      <c r="B6" s="4" t="s">
        <v>7</v>
      </c>
      <c r="C6" s="4" t="s">
        <v>8</v>
      </c>
      <c r="D6" s="4" t="s">
        <v>9</v>
      </c>
      <c r="E6" s="4" t="s">
        <v>10</v>
      </c>
      <c r="F6" s="4" t="s">
        <v>32</v>
      </c>
      <c r="G6" s="5" t="s">
        <v>31</v>
      </c>
      <c r="I6" s="14"/>
    </row>
    <row r="7" spans="1:9" x14ac:dyDescent="0.25">
      <c r="A7" s="25">
        <v>1</v>
      </c>
      <c r="B7" s="19" t="s">
        <v>53</v>
      </c>
      <c r="C7" s="19" t="s">
        <v>65</v>
      </c>
      <c r="D7" s="19" t="s">
        <v>11</v>
      </c>
      <c r="E7" s="20" t="s">
        <v>5</v>
      </c>
      <c r="F7" s="27" t="str">
        <f>ConvertToJavaAttr($B7)</f>
        <v>id</v>
      </c>
      <c r="G7" s="28" t="str">
        <f>ConvertToJavaType($C7)</f>
        <v>Long</v>
      </c>
    </row>
    <row r="8" spans="1:9" x14ac:dyDescent="0.25">
      <c r="A8" s="26">
        <v>2</v>
      </c>
      <c r="B8" s="21" t="s">
        <v>49</v>
      </c>
      <c r="C8" s="21" t="s">
        <v>23</v>
      </c>
      <c r="D8" s="21" t="s">
        <v>13</v>
      </c>
      <c r="E8" s="22" t="s">
        <v>5</v>
      </c>
      <c r="F8" s="27" t="str">
        <f t="shared" ref="F8:F10" si="0">ConvertToJavaAttr($B8)</f>
        <v>name</v>
      </c>
      <c r="G8" s="28" t="str">
        <f t="shared" ref="G8:G10" si="1">ConvertToJavaType($C8)</f>
        <v>String</v>
      </c>
    </row>
    <row r="9" spans="1:9" x14ac:dyDescent="0.25">
      <c r="A9" s="26">
        <v>3</v>
      </c>
      <c r="B9" s="21" t="s">
        <v>50</v>
      </c>
      <c r="C9" s="21" t="s">
        <v>27</v>
      </c>
      <c r="D9" s="21" t="s">
        <v>13</v>
      </c>
      <c r="E9" s="22" t="s">
        <v>5</v>
      </c>
      <c r="F9" s="27" t="str">
        <f t="shared" si="0"/>
        <v>description</v>
      </c>
      <c r="G9" s="28" t="str">
        <f t="shared" si="1"/>
        <v>String</v>
      </c>
    </row>
    <row r="10" spans="1:9" x14ac:dyDescent="0.25">
      <c r="A10" s="26">
        <v>4</v>
      </c>
      <c r="B10" s="21" t="s">
        <v>61</v>
      </c>
      <c r="C10" s="21" t="s">
        <v>20</v>
      </c>
      <c r="D10" s="21" t="s">
        <v>5</v>
      </c>
      <c r="E10" s="22" t="s">
        <v>14</v>
      </c>
      <c r="F10" s="27" t="str">
        <f t="shared" si="0"/>
        <v>delFlag</v>
      </c>
      <c r="G10" s="28" t="str">
        <f t="shared" si="1"/>
        <v>Boolean</v>
      </c>
    </row>
    <row r="11" spans="1:9" x14ac:dyDescent="0.25">
      <c r="A11" s="25">
        <v>1</v>
      </c>
      <c r="B11" s="21" t="s">
        <v>62</v>
      </c>
      <c r="C11" s="21" t="s">
        <v>56</v>
      </c>
      <c r="D11" s="21" t="s">
        <v>13</v>
      </c>
      <c r="E11" s="22" t="s">
        <v>28</v>
      </c>
      <c r="F11" s="27" t="str">
        <f>ConvertToJavaAttr($B11)</f>
        <v>version</v>
      </c>
      <c r="G11" s="28" t="str">
        <f>ConvertToJavaType($C11)</f>
        <v>Integer</v>
      </c>
    </row>
    <row r="12" spans="1:9" x14ac:dyDescent="0.25">
      <c r="A12" s="26">
        <v>2</v>
      </c>
      <c r="B12" s="21" t="s">
        <v>54</v>
      </c>
      <c r="C12" s="21" t="s">
        <v>52</v>
      </c>
      <c r="D12" s="21" t="s">
        <v>13</v>
      </c>
      <c r="E12" s="22" t="s">
        <v>5</v>
      </c>
      <c r="F12" s="27" t="str">
        <f t="shared" ref="F12:F14" si="2">ConvertToJavaAttr($B12)</f>
        <v>createdAt</v>
      </c>
      <c r="G12" s="28" t="str">
        <f t="shared" ref="G12:G14" si="3">ConvertToJavaType($C12)</f>
        <v>Date</v>
      </c>
    </row>
    <row r="13" spans="1:9" x14ac:dyDescent="0.25">
      <c r="A13" s="26">
        <v>3</v>
      </c>
      <c r="B13" s="21" t="s">
        <v>63</v>
      </c>
      <c r="C13" s="21" t="s">
        <v>52</v>
      </c>
      <c r="D13" s="21" t="s">
        <v>13</v>
      </c>
      <c r="E13" s="22" t="s">
        <v>5</v>
      </c>
      <c r="F13" s="27" t="str">
        <f t="shared" si="2"/>
        <v>updatedAt</v>
      </c>
      <c r="G13" s="28" t="str">
        <f t="shared" si="3"/>
        <v>Date</v>
      </c>
    </row>
    <row r="14" spans="1:9" ht="12.6" thickBot="1" x14ac:dyDescent="0.3">
      <c r="A14" s="26">
        <v>4</v>
      </c>
      <c r="B14" s="23" t="s">
        <v>64</v>
      </c>
      <c r="C14" s="23" t="s">
        <v>56</v>
      </c>
      <c r="D14" s="23" t="s">
        <v>5</v>
      </c>
      <c r="E14" s="24" t="s">
        <v>5</v>
      </c>
      <c r="F14" s="27" t="str">
        <f t="shared" si="2"/>
        <v>updatedBy</v>
      </c>
      <c r="G14" s="28" t="str">
        <f t="shared" si="3"/>
        <v>Integer</v>
      </c>
    </row>
    <row r="15" spans="1:9" x14ac:dyDescent="0.25">
      <c r="A15" s="29"/>
      <c r="B15" s="30"/>
      <c r="C15" s="30"/>
      <c r="D15" s="30"/>
      <c r="E15" s="31"/>
      <c r="F15" s="29"/>
      <c r="G15" s="32"/>
    </row>
    <row r="16" spans="1:9" x14ac:dyDescent="0.25">
      <c r="A16" s="29"/>
      <c r="B16" s="30"/>
      <c r="C16" s="30"/>
      <c r="D16" s="30"/>
      <c r="E16" s="31"/>
      <c r="F16" s="29"/>
      <c r="G16" s="32"/>
    </row>
    <row r="17" spans="1:16" x14ac:dyDescent="0.25">
      <c r="A17" s="29"/>
      <c r="B17" s="30"/>
      <c r="C17" s="30"/>
      <c r="D17" s="30"/>
      <c r="E17" s="31"/>
      <c r="F17" s="29"/>
      <c r="G17" s="32"/>
    </row>
    <row r="19" spans="1:16" x14ac:dyDescent="0.25">
      <c r="A19" s="17" t="s">
        <v>47</v>
      </c>
      <c r="B19" s="18"/>
      <c r="C19" s="18"/>
      <c r="D19" s="18"/>
      <c r="E19" s="18"/>
      <c r="F19" s="18"/>
    </row>
    <row r="20" spans="1:16" x14ac:dyDescent="0.25">
      <c r="B20" s="8" t="str">
        <f>$C$3 &amp; ".java"</f>
        <v>Role.java</v>
      </c>
    </row>
    <row r="29" spans="1:16" s="18" customFormat="1" ht="21" customHeight="1" x14ac:dyDescent="0.25">
      <c r="A29" s="9"/>
      <c r="B29" s="9"/>
      <c r="C29" s="9"/>
      <c r="D29" s="9"/>
      <c r="E29" s="9"/>
      <c r="F29" s="9"/>
      <c r="G29" s="9"/>
    </row>
    <row r="30" spans="1:16" x14ac:dyDescent="0.25">
      <c r="P30" s="8"/>
    </row>
    <row r="31" spans="1:16" ht="12.6" customHeight="1" x14ac:dyDescent="0.25"/>
    <row r="47" spans="2:2" x14ac:dyDescent="0.25">
      <c r="B47" s="8" t="str">
        <f>$C$3 &amp; "Mapper.java"</f>
        <v>RoleMapper.java</v>
      </c>
    </row>
    <row r="74" spans="2:2" x14ac:dyDescent="0.25">
      <c r="B74" s="8" t="str">
        <f>$C$3 &amp; "Mapper.xml"</f>
        <v>RoleMapper.xml</v>
      </c>
    </row>
  </sheetData>
  <pageMargins left="0.7" right="0.7" top="0.75" bottom="0.75" header="0.3" footer="0.3"/>
  <pageSetup scale="95" fitToHeight="0" orientation="portrait" horizontalDpi="300" verticalDpi="300" r:id="rId1"/>
  <headerFooter>
    <oddHeader>&amp;LTable Definition Document&amp;R&amp;D</oddHeader>
    <oddFooter>&amp;C&amp;P/&amp;N</oddFooter>
  </headerFooter>
  <drawing r:id="rId2"/>
  <legacyDrawing r:id="rId3"/>
  <controls>
    <mc:AlternateContent xmlns:mc="http://schemas.openxmlformats.org/markup-compatibility/2006">
      <mc:Choice Requires="x14">
        <control shapeId="28673" r:id="rId4" name="txtModel">
          <controlPr defaultSize="0" autoLine="0" autoPict="0" r:id="rId5">
            <anchor moveWithCells="1">
              <from>
                <xdr:col>1</xdr:col>
                <xdr:colOff>7620</xdr:colOff>
                <xdr:row>21</xdr:row>
                <xdr:rowOff>22860</xdr:rowOff>
              </from>
              <to>
                <xdr:col>6</xdr:col>
                <xdr:colOff>419100</xdr:colOff>
                <xdr:row>43</xdr:row>
                <xdr:rowOff>60960</xdr:rowOff>
              </to>
            </anchor>
          </controlPr>
        </control>
      </mc:Choice>
      <mc:Fallback>
        <control shapeId="28673" r:id="rId4" name="txtModel"/>
      </mc:Fallback>
    </mc:AlternateContent>
    <mc:AlternateContent xmlns:mc="http://schemas.openxmlformats.org/markup-compatibility/2006">
      <mc:Choice Requires="x14">
        <control shapeId="28674" r:id="rId6" name="txtMapperJava">
          <controlPr defaultSize="0" autoLine="0" autoPict="0" r:id="rId7">
            <anchor moveWithCells="1">
              <from>
                <xdr:col>1</xdr:col>
                <xdr:colOff>0</xdr:colOff>
                <xdr:row>48</xdr:row>
                <xdr:rowOff>22860</xdr:rowOff>
              </from>
              <to>
                <xdr:col>6</xdr:col>
                <xdr:colOff>419100</xdr:colOff>
                <xdr:row>71</xdr:row>
                <xdr:rowOff>22860</xdr:rowOff>
              </to>
            </anchor>
          </controlPr>
        </control>
      </mc:Choice>
      <mc:Fallback>
        <control shapeId="28674" r:id="rId6" name="txtMapperJava"/>
      </mc:Fallback>
    </mc:AlternateContent>
    <mc:AlternateContent xmlns:mc="http://schemas.openxmlformats.org/markup-compatibility/2006">
      <mc:Choice Requires="x14">
        <control shapeId="28675" r:id="rId8" name="txtMapperXml">
          <controlPr defaultSize="0" autoLine="0" autoPict="0" r:id="rId9">
            <anchor moveWithCells="1">
              <from>
                <xdr:col>1</xdr:col>
                <xdr:colOff>0</xdr:colOff>
                <xdr:row>75</xdr:row>
                <xdr:rowOff>7620</xdr:rowOff>
              </from>
              <to>
                <xdr:col>6</xdr:col>
                <xdr:colOff>419100</xdr:colOff>
                <xdr:row>98</xdr:row>
                <xdr:rowOff>22860</xdr:rowOff>
              </to>
            </anchor>
          </controlPr>
        </control>
      </mc:Choice>
      <mc:Fallback>
        <control shapeId="28675" r:id="rId8" name="txtMapperXml"/>
      </mc:Fallback>
    </mc:AlternateContent>
    <mc:AlternateContent xmlns:mc="http://schemas.openxmlformats.org/markup-compatibility/2006">
      <mc:Choice Requires="x14">
        <control shapeId="28676" r:id="rId10" name="btnGenCode">
          <controlPr defaultSize="0" autoLine="0" autoPict="0" r:id="rId11">
            <anchor moveWithCells="1">
              <from>
                <xdr:col>2</xdr:col>
                <xdr:colOff>7620</xdr:colOff>
                <xdr:row>18</xdr:row>
                <xdr:rowOff>7620</xdr:rowOff>
              </from>
              <to>
                <xdr:col>3</xdr:col>
                <xdr:colOff>60960</xdr:colOff>
                <xdr:row>19</xdr:row>
                <xdr:rowOff>137160</xdr:rowOff>
              </to>
            </anchor>
          </controlPr>
        </control>
      </mc:Choice>
      <mc:Fallback>
        <control shapeId="28676" r:id="rId10" name="btnGenCode"/>
      </mc:Fallback>
    </mc:AlternateContent>
    <mc:AlternateContent xmlns:mc="http://schemas.openxmlformats.org/markup-compatibility/2006">
      <mc:Choice Requires="x14">
        <control shapeId="28677" r:id="rId12" name="btnCopyModel">
          <controlPr defaultSize="0" autoLine="0" autoPict="0" r:id="rId13">
            <anchor moveWithCells="1">
              <from>
                <xdr:col>7</xdr:col>
                <xdr:colOff>45720</xdr:colOff>
                <xdr:row>31</xdr:row>
                <xdr:rowOff>7620</xdr:rowOff>
              </from>
              <to>
                <xdr:col>8</xdr:col>
                <xdr:colOff>190500</xdr:colOff>
                <xdr:row>32</xdr:row>
                <xdr:rowOff>106680</xdr:rowOff>
              </to>
            </anchor>
          </controlPr>
        </control>
      </mc:Choice>
      <mc:Fallback>
        <control shapeId="28677" r:id="rId12" name="btnCopyModel"/>
      </mc:Fallback>
    </mc:AlternateContent>
    <mc:AlternateContent xmlns:mc="http://schemas.openxmlformats.org/markup-compatibility/2006">
      <mc:Choice Requires="x14">
        <control shapeId="28678" r:id="rId14" name="btnCopyMapperJava">
          <controlPr defaultSize="0" autoLine="0" autoPict="0" r:id="rId15">
            <anchor moveWithCells="1">
              <from>
                <xdr:col>7</xdr:col>
                <xdr:colOff>45720</xdr:colOff>
                <xdr:row>58</xdr:row>
                <xdr:rowOff>7620</xdr:rowOff>
              </from>
              <to>
                <xdr:col>8</xdr:col>
                <xdr:colOff>190500</xdr:colOff>
                <xdr:row>59</xdr:row>
                <xdr:rowOff>106680</xdr:rowOff>
              </to>
            </anchor>
          </controlPr>
        </control>
      </mc:Choice>
      <mc:Fallback>
        <control shapeId="28678" r:id="rId14" name="btnCopyMapperJava"/>
      </mc:Fallback>
    </mc:AlternateContent>
    <mc:AlternateContent xmlns:mc="http://schemas.openxmlformats.org/markup-compatibility/2006">
      <mc:Choice Requires="x14">
        <control shapeId="28679" r:id="rId16" name="btnCopyMapperXml">
          <controlPr defaultSize="0" autoLine="0" autoPict="0" r:id="rId17">
            <anchor moveWithCells="1">
              <from>
                <xdr:col>7</xdr:col>
                <xdr:colOff>45720</xdr:colOff>
                <xdr:row>85</xdr:row>
                <xdr:rowOff>7620</xdr:rowOff>
              </from>
              <to>
                <xdr:col>8</xdr:col>
                <xdr:colOff>190500</xdr:colOff>
                <xdr:row>86</xdr:row>
                <xdr:rowOff>106680</xdr:rowOff>
              </to>
            </anchor>
          </controlPr>
        </control>
      </mc:Choice>
      <mc:Fallback>
        <control shapeId="28679" r:id="rId16" name="btnCopyMapperXml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pageSetUpPr fitToPage="1"/>
  </sheetPr>
  <dimension ref="A1:P77"/>
  <sheetViews>
    <sheetView topLeftCell="A61" workbookViewId="0">
      <selection activeCell="K90" sqref="K90"/>
    </sheetView>
  </sheetViews>
  <sheetFormatPr defaultColWidth="8.88671875" defaultRowHeight="12" x14ac:dyDescent="0.25"/>
  <cols>
    <col min="1" max="1" width="3.6640625" style="9" customWidth="1"/>
    <col min="2" max="2" width="24.6640625" style="9" customWidth="1"/>
    <col min="3" max="3" width="14.6640625" style="9" customWidth="1"/>
    <col min="4" max="5" width="8.6640625" style="9" customWidth="1"/>
    <col min="6" max="6" width="16.6640625" style="9" customWidth="1"/>
    <col min="7" max="7" width="16.33203125" style="9" customWidth="1"/>
    <col min="8" max="16384" width="8.88671875" style="9"/>
  </cols>
  <sheetData>
    <row r="1" spans="1:9" ht="15" thickBot="1" x14ac:dyDescent="0.3">
      <c r="A1" s="33" t="str">
        <f>HYPERLINK("#TableList!A1","〈〉")</f>
        <v>〈〉</v>
      </c>
      <c r="B1" s="8" t="s">
        <v>45</v>
      </c>
    </row>
    <row r="2" spans="1:9" x14ac:dyDescent="0.25">
      <c r="B2" s="10" t="s">
        <v>7</v>
      </c>
      <c r="C2" s="12" t="s">
        <v>46</v>
      </c>
    </row>
    <row r="3" spans="1:9" ht="12.6" thickBot="1" x14ac:dyDescent="0.3">
      <c r="B3" s="15" t="s">
        <v>69</v>
      </c>
      <c r="C3" s="16" t="s">
        <v>70</v>
      </c>
    </row>
    <row r="5" spans="1:9" ht="12.6" thickBot="1" x14ac:dyDescent="0.3">
      <c r="A5" s="8" t="s">
        <v>6</v>
      </c>
    </row>
    <row r="6" spans="1:9" x14ac:dyDescent="0.25">
      <c r="A6" s="3" t="s">
        <v>1</v>
      </c>
      <c r="B6" s="4" t="s">
        <v>7</v>
      </c>
      <c r="C6" s="4" t="s">
        <v>8</v>
      </c>
      <c r="D6" s="4" t="s">
        <v>9</v>
      </c>
      <c r="E6" s="4" t="s">
        <v>10</v>
      </c>
      <c r="F6" s="4" t="s">
        <v>32</v>
      </c>
      <c r="G6" s="5" t="s">
        <v>31</v>
      </c>
      <c r="I6" s="14"/>
    </row>
    <row r="7" spans="1:9" x14ac:dyDescent="0.25">
      <c r="A7" s="25">
        <v>1</v>
      </c>
      <c r="B7" s="19" t="s">
        <v>53</v>
      </c>
      <c r="C7" s="19" t="s">
        <v>65</v>
      </c>
      <c r="D7" s="19" t="s">
        <v>11</v>
      </c>
      <c r="E7" s="20" t="s">
        <v>5</v>
      </c>
      <c r="F7" s="27" t="str">
        <f>ConvertToJavaAttr($B7)</f>
        <v>id</v>
      </c>
      <c r="G7" s="28" t="str">
        <f>ConvertToJavaType($C7)</f>
        <v>Long</v>
      </c>
    </row>
    <row r="8" spans="1:9" x14ac:dyDescent="0.25">
      <c r="A8" s="26">
        <v>2</v>
      </c>
      <c r="B8" s="21" t="s">
        <v>71</v>
      </c>
      <c r="C8" s="21" t="s">
        <v>23</v>
      </c>
      <c r="D8" s="21" t="s">
        <v>13</v>
      </c>
      <c r="E8" s="22" t="s">
        <v>5</v>
      </c>
      <c r="F8" s="27" t="str">
        <f t="shared" ref="F8:F10" si="0">ConvertToJavaAttr($B8)</f>
        <v>screenId</v>
      </c>
      <c r="G8" s="28" t="str">
        <f t="shared" ref="G8:G10" si="1">ConvertToJavaType($C8)</f>
        <v>String</v>
      </c>
    </row>
    <row r="9" spans="1:9" x14ac:dyDescent="0.25">
      <c r="A9" s="26">
        <v>3</v>
      </c>
      <c r="B9" s="21" t="s">
        <v>72</v>
      </c>
      <c r="C9" s="21" t="s">
        <v>23</v>
      </c>
      <c r="D9" s="21" t="s">
        <v>13</v>
      </c>
      <c r="E9" s="22" t="s">
        <v>5</v>
      </c>
      <c r="F9" s="27" t="str">
        <f t="shared" si="0"/>
        <v>screenName</v>
      </c>
      <c r="G9" s="28" t="str">
        <f t="shared" si="1"/>
        <v>String</v>
      </c>
    </row>
    <row r="10" spans="1:9" x14ac:dyDescent="0.25">
      <c r="A10" s="26">
        <v>4</v>
      </c>
      <c r="B10" s="21" t="s">
        <v>73</v>
      </c>
      <c r="C10" s="21" t="s">
        <v>23</v>
      </c>
      <c r="D10" s="21" t="s">
        <v>13</v>
      </c>
      <c r="E10" s="22" t="s">
        <v>5</v>
      </c>
      <c r="F10" s="27" t="str">
        <f t="shared" si="0"/>
        <v>functionId</v>
      </c>
      <c r="G10" s="28" t="str">
        <f t="shared" si="1"/>
        <v>String</v>
      </c>
    </row>
    <row r="11" spans="1:9" x14ac:dyDescent="0.25">
      <c r="A11" s="25">
        <v>1</v>
      </c>
      <c r="B11" s="21" t="s">
        <v>74</v>
      </c>
      <c r="C11" s="21" t="s">
        <v>23</v>
      </c>
      <c r="D11" s="21" t="s">
        <v>13</v>
      </c>
      <c r="E11" s="22" t="s">
        <v>5</v>
      </c>
      <c r="F11" s="27" t="str">
        <f>ConvertToJavaAttr($B11)</f>
        <v>functionName</v>
      </c>
      <c r="G11" s="28" t="str">
        <f>ConvertToJavaType($C11)</f>
        <v>String</v>
      </c>
    </row>
    <row r="12" spans="1:9" x14ac:dyDescent="0.25">
      <c r="A12" s="26">
        <v>2</v>
      </c>
      <c r="B12" s="21" t="s">
        <v>75</v>
      </c>
      <c r="C12" s="21" t="s">
        <v>23</v>
      </c>
      <c r="D12" s="21" t="s">
        <v>13</v>
      </c>
      <c r="E12" s="22" t="s">
        <v>5</v>
      </c>
      <c r="F12" s="27" t="str">
        <f t="shared" ref="F12:F13" si="2">ConvertToJavaAttr($B12)</f>
        <v>actionId</v>
      </c>
      <c r="G12" s="28" t="str">
        <f t="shared" ref="G12:G13" si="3">ConvertToJavaType($C12)</f>
        <v>String</v>
      </c>
    </row>
    <row r="13" spans="1:9" x14ac:dyDescent="0.25">
      <c r="A13" s="26">
        <v>3</v>
      </c>
      <c r="B13" s="21" t="s">
        <v>76</v>
      </c>
      <c r="C13" s="21" t="s">
        <v>23</v>
      </c>
      <c r="D13" s="21" t="s">
        <v>13</v>
      </c>
      <c r="E13" s="22" t="s">
        <v>5</v>
      </c>
      <c r="F13" s="27" t="str">
        <f t="shared" si="2"/>
        <v>actionName</v>
      </c>
      <c r="G13" s="28" t="str">
        <f t="shared" si="3"/>
        <v>String</v>
      </c>
    </row>
    <row r="14" spans="1:9" x14ac:dyDescent="0.25">
      <c r="A14" s="25">
        <v>1</v>
      </c>
      <c r="B14" s="21" t="s">
        <v>62</v>
      </c>
      <c r="C14" s="21" t="s">
        <v>56</v>
      </c>
      <c r="D14" s="21" t="s">
        <v>13</v>
      </c>
      <c r="E14" s="22" t="s">
        <v>28</v>
      </c>
      <c r="F14" s="27" t="str">
        <f>ConvertToJavaAttr($B14)</f>
        <v>version</v>
      </c>
      <c r="G14" s="28" t="str">
        <f>ConvertToJavaType($C14)</f>
        <v>Integer</v>
      </c>
    </row>
    <row r="15" spans="1:9" x14ac:dyDescent="0.25">
      <c r="A15" s="26">
        <v>2</v>
      </c>
      <c r="B15" s="21" t="s">
        <v>54</v>
      </c>
      <c r="C15" s="21" t="s">
        <v>52</v>
      </c>
      <c r="D15" s="21" t="s">
        <v>13</v>
      </c>
      <c r="E15" s="22" t="s">
        <v>5</v>
      </c>
      <c r="F15" s="27" t="str">
        <f t="shared" ref="F15:F17" si="4">ConvertToJavaAttr($B15)</f>
        <v>createdAt</v>
      </c>
      <c r="G15" s="28" t="str">
        <f t="shared" ref="G15:G17" si="5">ConvertToJavaType($C15)</f>
        <v>Date</v>
      </c>
    </row>
    <row r="16" spans="1:9" x14ac:dyDescent="0.25">
      <c r="A16" s="26">
        <v>3</v>
      </c>
      <c r="B16" s="21" t="s">
        <v>63</v>
      </c>
      <c r="C16" s="21" t="s">
        <v>52</v>
      </c>
      <c r="D16" s="21" t="s">
        <v>13</v>
      </c>
      <c r="E16" s="22" t="s">
        <v>5</v>
      </c>
      <c r="F16" s="27" t="str">
        <f t="shared" si="4"/>
        <v>updatedAt</v>
      </c>
      <c r="G16" s="28" t="str">
        <f t="shared" si="5"/>
        <v>Date</v>
      </c>
    </row>
    <row r="17" spans="1:7" ht="12.6" thickBot="1" x14ac:dyDescent="0.3">
      <c r="A17" s="26">
        <v>4</v>
      </c>
      <c r="B17" s="23" t="s">
        <v>64</v>
      </c>
      <c r="C17" s="23" t="s">
        <v>56</v>
      </c>
      <c r="D17" s="23" t="s">
        <v>5</v>
      </c>
      <c r="E17" s="24" t="s">
        <v>5</v>
      </c>
      <c r="F17" s="27" t="str">
        <f t="shared" si="4"/>
        <v>updatedBy</v>
      </c>
      <c r="G17" s="28" t="str">
        <f t="shared" si="5"/>
        <v>Integer</v>
      </c>
    </row>
    <row r="18" spans="1:7" x14ac:dyDescent="0.25">
      <c r="A18" s="29"/>
      <c r="B18" s="30"/>
      <c r="C18" s="30"/>
      <c r="D18" s="30"/>
      <c r="E18" s="31"/>
      <c r="F18" s="29"/>
      <c r="G18" s="32"/>
    </row>
    <row r="19" spans="1:7" x14ac:dyDescent="0.25">
      <c r="A19" s="29"/>
      <c r="B19" s="30"/>
      <c r="C19" s="30"/>
      <c r="D19" s="30"/>
      <c r="E19" s="31"/>
      <c r="F19" s="29"/>
      <c r="G19" s="32"/>
    </row>
    <row r="20" spans="1:7" x14ac:dyDescent="0.25">
      <c r="A20" s="29"/>
      <c r="B20" s="30"/>
      <c r="C20" s="30"/>
      <c r="D20" s="30"/>
      <c r="E20" s="31"/>
      <c r="F20" s="29"/>
      <c r="G20" s="32"/>
    </row>
    <row r="22" spans="1:7" x14ac:dyDescent="0.25">
      <c r="A22" s="17" t="s">
        <v>47</v>
      </c>
      <c r="B22" s="18"/>
      <c r="C22" s="18"/>
      <c r="D22" s="18"/>
      <c r="E22" s="18"/>
      <c r="F22" s="18"/>
    </row>
    <row r="23" spans="1:7" x14ac:dyDescent="0.25">
      <c r="B23" s="8" t="str">
        <f>$C$3 &amp; ".java"</f>
        <v>Permission.java</v>
      </c>
    </row>
    <row r="32" spans="1:7" s="18" customFormat="1" ht="21" customHeight="1" x14ac:dyDescent="0.25">
      <c r="A32" s="9"/>
      <c r="B32" s="9"/>
      <c r="C32" s="9"/>
      <c r="D32" s="9"/>
      <c r="E32" s="9"/>
      <c r="F32" s="9"/>
      <c r="G32" s="9"/>
    </row>
    <row r="33" spans="16:16" x14ac:dyDescent="0.25">
      <c r="P33" s="8"/>
    </row>
    <row r="34" spans="16:16" ht="12.6" customHeight="1" x14ac:dyDescent="0.25"/>
    <row r="50" spans="2:2" x14ac:dyDescent="0.25">
      <c r="B50" s="8" t="str">
        <f>$C$3 &amp; "Mapper.java"</f>
        <v>PermissionMapper.java</v>
      </c>
    </row>
    <row r="77" spans="2:2" x14ac:dyDescent="0.25">
      <c r="B77" s="8" t="str">
        <f>$C$3 &amp; "Mapper.xml"</f>
        <v>PermissionMapper.xml</v>
      </c>
    </row>
  </sheetData>
  <pageMargins left="0.7" right="0.7" top="0.75" bottom="0.75" header="0.3" footer="0.3"/>
  <pageSetup scale="95" fitToHeight="0" orientation="portrait" horizontalDpi="300" verticalDpi="300" r:id="rId1"/>
  <headerFooter>
    <oddHeader>&amp;LTable Definition Document&amp;R&amp;D</oddHeader>
    <oddFooter>&amp;C&amp;P/&amp;N</oddFooter>
  </headerFooter>
  <drawing r:id="rId2"/>
  <legacyDrawing r:id="rId3"/>
  <controls>
    <mc:AlternateContent xmlns:mc="http://schemas.openxmlformats.org/markup-compatibility/2006">
      <mc:Choice Requires="x14">
        <control shapeId="29697" r:id="rId4" name="txtModel">
          <controlPr defaultSize="0" autoLine="0" r:id="rId5">
            <anchor moveWithCells="1">
              <from>
                <xdr:col>1</xdr:col>
                <xdr:colOff>7620</xdr:colOff>
                <xdr:row>24</xdr:row>
                <xdr:rowOff>22860</xdr:rowOff>
              </from>
              <to>
                <xdr:col>6</xdr:col>
                <xdr:colOff>419100</xdr:colOff>
                <xdr:row>46</xdr:row>
                <xdr:rowOff>60960</xdr:rowOff>
              </to>
            </anchor>
          </controlPr>
        </control>
      </mc:Choice>
      <mc:Fallback>
        <control shapeId="29697" r:id="rId4" name="txtModel"/>
      </mc:Fallback>
    </mc:AlternateContent>
    <mc:AlternateContent xmlns:mc="http://schemas.openxmlformats.org/markup-compatibility/2006">
      <mc:Choice Requires="x14">
        <control shapeId="29698" r:id="rId6" name="txtMapperJava">
          <controlPr defaultSize="0" autoLine="0" r:id="rId7">
            <anchor moveWithCells="1">
              <from>
                <xdr:col>1</xdr:col>
                <xdr:colOff>0</xdr:colOff>
                <xdr:row>51</xdr:row>
                <xdr:rowOff>22860</xdr:rowOff>
              </from>
              <to>
                <xdr:col>6</xdr:col>
                <xdr:colOff>419100</xdr:colOff>
                <xdr:row>74</xdr:row>
                <xdr:rowOff>22860</xdr:rowOff>
              </to>
            </anchor>
          </controlPr>
        </control>
      </mc:Choice>
      <mc:Fallback>
        <control shapeId="29698" r:id="rId6" name="txtMapperJava"/>
      </mc:Fallback>
    </mc:AlternateContent>
    <mc:AlternateContent xmlns:mc="http://schemas.openxmlformats.org/markup-compatibility/2006">
      <mc:Choice Requires="x14">
        <control shapeId="29699" r:id="rId8" name="txtMapperXml">
          <controlPr defaultSize="0" autoLine="0" r:id="rId9">
            <anchor moveWithCells="1">
              <from>
                <xdr:col>1</xdr:col>
                <xdr:colOff>0</xdr:colOff>
                <xdr:row>78</xdr:row>
                <xdr:rowOff>7620</xdr:rowOff>
              </from>
              <to>
                <xdr:col>6</xdr:col>
                <xdr:colOff>419100</xdr:colOff>
                <xdr:row>101</xdr:row>
                <xdr:rowOff>22860</xdr:rowOff>
              </to>
            </anchor>
          </controlPr>
        </control>
      </mc:Choice>
      <mc:Fallback>
        <control shapeId="29699" r:id="rId8" name="txtMapperXml"/>
      </mc:Fallback>
    </mc:AlternateContent>
    <mc:AlternateContent xmlns:mc="http://schemas.openxmlformats.org/markup-compatibility/2006">
      <mc:Choice Requires="x14">
        <control shapeId="29700" r:id="rId10" name="btnGenCode">
          <controlPr defaultSize="0" autoLine="0" r:id="rId11">
            <anchor moveWithCells="1">
              <from>
                <xdr:col>2</xdr:col>
                <xdr:colOff>7620</xdr:colOff>
                <xdr:row>21</xdr:row>
                <xdr:rowOff>7620</xdr:rowOff>
              </from>
              <to>
                <xdr:col>3</xdr:col>
                <xdr:colOff>60960</xdr:colOff>
                <xdr:row>22</xdr:row>
                <xdr:rowOff>137160</xdr:rowOff>
              </to>
            </anchor>
          </controlPr>
        </control>
      </mc:Choice>
      <mc:Fallback>
        <control shapeId="29700" r:id="rId10" name="btnGenCode"/>
      </mc:Fallback>
    </mc:AlternateContent>
    <mc:AlternateContent xmlns:mc="http://schemas.openxmlformats.org/markup-compatibility/2006">
      <mc:Choice Requires="x14">
        <control shapeId="29701" r:id="rId12" name="btnCopyModel">
          <controlPr defaultSize="0" autoLine="0" r:id="rId13">
            <anchor moveWithCells="1">
              <from>
                <xdr:col>7</xdr:col>
                <xdr:colOff>45720</xdr:colOff>
                <xdr:row>34</xdr:row>
                <xdr:rowOff>7620</xdr:rowOff>
              </from>
              <to>
                <xdr:col>8</xdr:col>
                <xdr:colOff>190500</xdr:colOff>
                <xdr:row>35</xdr:row>
                <xdr:rowOff>106680</xdr:rowOff>
              </to>
            </anchor>
          </controlPr>
        </control>
      </mc:Choice>
      <mc:Fallback>
        <control shapeId="29701" r:id="rId12" name="btnCopyModel"/>
      </mc:Fallback>
    </mc:AlternateContent>
    <mc:AlternateContent xmlns:mc="http://schemas.openxmlformats.org/markup-compatibility/2006">
      <mc:Choice Requires="x14">
        <control shapeId="29702" r:id="rId14" name="btnCopyMapperJava">
          <controlPr defaultSize="0" autoLine="0" r:id="rId15">
            <anchor moveWithCells="1">
              <from>
                <xdr:col>7</xdr:col>
                <xdr:colOff>45720</xdr:colOff>
                <xdr:row>61</xdr:row>
                <xdr:rowOff>7620</xdr:rowOff>
              </from>
              <to>
                <xdr:col>8</xdr:col>
                <xdr:colOff>190500</xdr:colOff>
                <xdr:row>62</xdr:row>
                <xdr:rowOff>106680</xdr:rowOff>
              </to>
            </anchor>
          </controlPr>
        </control>
      </mc:Choice>
      <mc:Fallback>
        <control shapeId="29702" r:id="rId14" name="btnCopyMapperJava"/>
      </mc:Fallback>
    </mc:AlternateContent>
    <mc:AlternateContent xmlns:mc="http://schemas.openxmlformats.org/markup-compatibility/2006">
      <mc:Choice Requires="x14">
        <control shapeId="29703" r:id="rId16" name="btnCopyMapperXml">
          <controlPr defaultSize="0" autoLine="0" r:id="rId17">
            <anchor moveWithCells="1">
              <from>
                <xdr:col>7</xdr:col>
                <xdr:colOff>45720</xdr:colOff>
                <xdr:row>88</xdr:row>
                <xdr:rowOff>7620</xdr:rowOff>
              </from>
              <to>
                <xdr:col>8</xdr:col>
                <xdr:colOff>190500</xdr:colOff>
                <xdr:row>89</xdr:row>
                <xdr:rowOff>106680</xdr:rowOff>
              </to>
            </anchor>
          </controlPr>
        </control>
      </mc:Choice>
      <mc:Fallback>
        <control shapeId="29703" r:id="rId16" name="btnCopyMapperXml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pageSetUpPr fitToPage="1"/>
  </sheetPr>
  <dimension ref="A1:P73"/>
  <sheetViews>
    <sheetView topLeftCell="A46" workbookViewId="0">
      <selection activeCell="H59" sqref="H59"/>
    </sheetView>
  </sheetViews>
  <sheetFormatPr defaultColWidth="8.88671875" defaultRowHeight="12" x14ac:dyDescent="0.25"/>
  <cols>
    <col min="1" max="1" width="3.6640625" style="9" customWidth="1"/>
    <col min="2" max="2" width="24.6640625" style="9" customWidth="1"/>
    <col min="3" max="3" width="14.6640625" style="9" customWidth="1"/>
    <col min="4" max="5" width="8.6640625" style="9" customWidth="1"/>
    <col min="6" max="6" width="16.6640625" style="9" customWidth="1"/>
    <col min="7" max="7" width="16.33203125" style="9" customWidth="1"/>
    <col min="8" max="16384" width="8.88671875" style="9"/>
  </cols>
  <sheetData>
    <row r="1" spans="1:9" ht="15" thickBot="1" x14ac:dyDescent="0.3">
      <c r="A1" s="33" t="str">
        <f>HYPERLINK("#TableList!A1","〈〉")</f>
        <v>〈〉</v>
      </c>
      <c r="B1" s="8" t="s">
        <v>45</v>
      </c>
    </row>
    <row r="2" spans="1:9" x14ac:dyDescent="0.25">
      <c r="B2" s="10" t="s">
        <v>7</v>
      </c>
      <c r="C2" s="12" t="s">
        <v>46</v>
      </c>
    </row>
    <row r="3" spans="1:9" ht="12.6" thickBot="1" x14ac:dyDescent="0.3">
      <c r="B3" s="15" t="s">
        <v>79</v>
      </c>
      <c r="C3" s="16" t="s">
        <v>80</v>
      </c>
    </row>
    <row r="5" spans="1:9" ht="12.6" thickBot="1" x14ac:dyDescent="0.3">
      <c r="A5" s="8" t="s">
        <v>6</v>
      </c>
    </row>
    <row r="6" spans="1:9" x14ac:dyDescent="0.25">
      <c r="A6" s="3" t="s">
        <v>1</v>
      </c>
      <c r="B6" s="4" t="s">
        <v>7</v>
      </c>
      <c r="C6" s="4" t="s">
        <v>8</v>
      </c>
      <c r="D6" s="4" t="s">
        <v>9</v>
      </c>
      <c r="E6" s="4" t="s">
        <v>10</v>
      </c>
      <c r="F6" s="4" t="s">
        <v>32</v>
      </c>
      <c r="G6" s="5" t="s">
        <v>31</v>
      </c>
      <c r="I6" s="14"/>
    </row>
    <row r="7" spans="1:9" x14ac:dyDescent="0.25">
      <c r="A7" s="25">
        <v>1</v>
      </c>
      <c r="B7" s="19" t="s">
        <v>15</v>
      </c>
      <c r="C7" s="19" t="s">
        <v>66</v>
      </c>
      <c r="D7" s="19" t="s">
        <v>11</v>
      </c>
      <c r="E7" s="20" t="s">
        <v>5</v>
      </c>
      <c r="F7" s="27" t="str">
        <f>ConvertToJavaAttr($B7)</f>
        <v>roleId</v>
      </c>
      <c r="G7" s="28" t="str">
        <f>ConvertToJavaType($C7)</f>
        <v>Long</v>
      </c>
    </row>
    <row r="8" spans="1:9" x14ac:dyDescent="0.25">
      <c r="A8" s="26">
        <v>2</v>
      </c>
      <c r="B8" s="21" t="s">
        <v>77</v>
      </c>
      <c r="C8" s="21" t="s">
        <v>66</v>
      </c>
      <c r="D8" s="21" t="s">
        <v>11</v>
      </c>
      <c r="E8" s="22" t="s">
        <v>5</v>
      </c>
      <c r="F8" s="27" t="str">
        <f t="shared" ref="F8:F10" si="0">ConvertToJavaAttr($B8)</f>
        <v>permissionId</v>
      </c>
      <c r="G8" s="28" t="str">
        <f t="shared" ref="G8:G10" si="1">ConvertToJavaType($C8)</f>
        <v>Long</v>
      </c>
    </row>
    <row r="9" spans="1:9" x14ac:dyDescent="0.25">
      <c r="A9" s="26">
        <v>3</v>
      </c>
      <c r="B9" s="21" t="s">
        <v>78</v>
      </c>
      <c r="C9" s="21" t="s">
        <v>20</v>
      </c>
      <c r="D9" s="21" t="s">
        <v>13</v>
      </c>
      <c r="E9" s="22" t="s">
        <v>14</v>
      </c>
      <c r="F9" s="27" t="str">
        <f t="shared" si="0"/>
        <v>displayOperationControl</v>
      </c>
      <c r="G9" s="28" t="str">
        <f t="shared" si="1"/>
        <v>Boolean</v>
      </c>
    </row>
    <row r="10" spans="1:9" x14ac:dyDescent="0.25">
      <c r="A10" s="26">
        <v>4</v>
      </c>
      <c r="B10" s="21" t="s">
        <v>62</v>
      </c>
      <c r="C10" s="21" t="s">
        <v>56</v>
      </c>
      <c r="D10" s="21" t="s">
        <v>13</v>
      </c>
      <c r="E10" s="22" t="s">
        <v>28</v>
      </c>
      <c r="F10" s="27" t="str">
        <f t="shared" si="0"/>
        <v>version</v>
      </c>
      <c r="G10" s="28" t="str">
        <f t="shared" si="1"/>
        <v>Integer</v>
      </c>
    </row>
    <row r="11" spans="1:9" x14ac:dyDescent="0.25">
      <c r="A11" s="25">
        <v>1</v>
      </c>
      <c r="B11" s="21" t="s">
        <v>54</v>
      </c>
      <c r="C11" s="21" t="s">
        <v>52</v>
      </c>
      <c r="D11" s="21" t="s">
        <v>13</v>
      </c>
      <c r="E11" s="22" t="s">
        <v>5</v>
      </c>
      <c r="F11" s="27" t="str">
        <f>ConvertToJavaAttr($B11)</f>
        <v>createdAt</v>
      </c>
      <c r="G11" s="28" t="str">
        <f>ConvertToJavaType($C11)</f>
        <v>Date</v>
      </c>
    </row>
    <row r="12" spans="1:9" x14ac:dyDescent="0.25">
      <c r="A12" s="26">
        <v>2</v>
      </c>
      <c r="B12" s="21" t="s">
        <v>63</v>
      </c>
      <c r="C12" s="21" t="s">
        <v>52</v>
      </c>
      <c r="D12" s="21" t="s">
        <v>13</v>
      </c>
      <c r="E12" s="22" t="s">
        <v>5</v>
      </c>
      <c r="F12" s="27" t="str">
        <f t="shared" ref="F12:F13" si="2">ConvertToJavaAttr($B12)</f>
        <v>updatedAt</v>
      </c>
      <c r="G12" s="28" t="str">
        <f t="shared" ref="G12:G13" si="3">ConvertToJavaType($C12)</f>
        <v>Date</v>
      </c>
    </row>
    <row r="13" spans="1:9" ht="12.6" thickBot="1" x14ac:dyDescent="0.3">
      <c r="A13" s="26">
        <v>3</v>
      </c>
      <c r="B13" s="23" t="s">
        <v>64</v>
      </c>
      <c r="C13" s="23" t="s">
        <v>56</v>
      </c>
      <c r="D13" s="23" t="s">
        <v>5</v>
      </c>
      <c r="E13" s="24" t="s">
        <v>5</v>
      </c>
      <c r="F13" s="27" t="str">
        <f t="shared" si="2"/>
        <v>updatedBy</v>
      </c>
      <c r="G13" s="28" t="str">
        <f t="shared" si="3"/>
        <v>Integer</v>
      </c>
    </row>
    <row r="14" spans="1:9" x14ac:dyDescent="0.25">
      <c r="A14" s="29"/>
      <c r="B14" s="30"/>
      <c r="C14" s="30"/>
      <c r="D14" s="30"/>
      <c r="E14" s="31"/>
      <c r="F14" s="29"/>
      <c r="G14" s="32"/>
    </row>
    <row r="15" spans="1:9" x14ac:dyDescent="0.25">
      <c r="A15" s="29"/>
      <c r="B15" s="30"/>
      <c r="C15" s="30"/>
      <c r="D15" s="30"/>
      <c r="E15" s="31"/>
      <c r="F15" s="29"/>
      <c r="G15" s="32"/>
    </row>
    <row r="16" spans="1:9" x14ac:dyDescent="0.25">
      <c r="A16" s="29"/>
      <c r="B16" s="30"/>
      <c r="C16" s="30"/>
      <c r="D16" s="30"/>
      <c r="E16" s="31"/>
      <c r="F16" s="29"/>
      <c r="G16" s="32"/>
    </row>
    <row r="18" spans="1:16" x14ac:dyDescent="0.25">
      <c r="A18" s="17" t="s">
        <v>47</v>
      </c>
      <c r="B18" s="18"/>
      <c r="C18" s="18"/>
      <c r="D18" s="18"/>
      <c r="E18" s="18"/>
      <c r="F18" s="18"/>
    </row>
    <row r="19" spans="1:16" x14ac:dyDescent="0.25">
      <c r="B19" s="8" t="str">
        <f>$C$3 &amp; ".java"</f>
        <v>RolePermission.java</v>
      </c>
    </row>
    <row r="28" spans="1:16" s="18" customFormat="1" ht="21" customHeight="1" x14ac:dyDescent="0.25">
      <c r="A28" s="9"/>
      <c r="B28" s="9"/>
      <c r="C28" s="9"/>
      <c r="D28" s="9"/>
      <c r="E28" s="9"/>
      <c r="F28" s="9"/>
      <c r="G28" s="9"/>
    </row>
    <row r="29" spans="1:16" x14ac:dyDescent="0.25">
      <c r="P29" s="8"/>
    </row>
    <row r="30" spans="1:16" ht="12.6" customHeight="1" x14ac:dyDescent="0.25"/>
    <row r="46" spans="2:2" x14ac:dyDescent="0.25">
      <c r="B46" s="8" t="str">
        <f>$C$3 &amp; "Mapper.java"</f>
        <v>RolePermissionMapper.java</v>
      </c>
    </row>
    <row r="73" spans="2:2" x14ac:dyDescent="0.25">
      <c r="B73" s="8" t="str">
        <f>$C$3 &amp; "Mapper.xml"</f>
        <v>RolePermissionMapper.xml</v>
      </c>
    </row>
  </sheetData>
  <pageMargins left="0.7" right="0.7" top="0.75" bottom="0.75" header="0.3" footer="0.3"/>
  <pageSetup scale="95" fitToHeight="0" orientation="portrait" horizontalDpi="300" verticalDpi="300" r:id="rId1"/>
  <headerFooter>
    <oddHeader>&amp;LTable Definition Document&amp;R&amp;D</oddHeader>
    <oddFooter>&amp;C&amp;P/&amp;N</oddFooter>
  </headerFooter>
  <drawing r:id="rId2"/>
  <legacyDrawing r:id="rId3"/>
  <controls>
    <mc:AlternateContent xmlns:mc="http://schemas.openxmlformats.org/markup-compatibility/2006">
      <mc:Choice Requires="x14">
        <control shapeId="30721" r:id="rId4" name="txtModel">
          <controlPr defaultSize="0" autoLine="0" r:id="rId5">
            <anchor moveWithCells="1">
              <from>
                <xdr:col>1</xdr:col>
                <xdr:colOff>7620</xdr:colOff>
                <xdr:row>20</xdr:row>
                <xdr:rowOff>22860</xdr:rowOff>
              </from>
              <to>
                <xdr:col>6</xdr:col>
                <xdr:colOff>419100</xdr:colOff>
                <xdr:row>42</xdr:row>
                <xdr:rowOff>60960</xdr:rowOff>
              </to>
            </anchor>
          </controlPr>
        </control>
      </mc:Choice>
      <mc:Fallback>
        <control shapeId="30721" r:id="rId4" name="txtModel"/>
      </mc:Fallback>
    </mc:AlternateContent>
    <mc:AlternateContent xmlns:mc="http://schemas.openxmlformats.org/markup-compatibility/2006">
      <mc:Choice Requires="x14">
        <control shapeId="30722" r:id="rId6" name="txtMapperJava">
          <controlPr defaultSize="0" autoLine="0" r:id="rId7">
            <anchor moveWithCells="1">
              <from>
                <xdr:col>1</xdr:col>
                <xdr:colOff>0</xdr:colOff>
                <xdr:row>47</xdr:row>
                <xdr:rowOff>22860</xdr:rowOff>
              </from>
              <to>
                <xdr:col>6</xdr:col>
                <xdr:colOff>419100</xdr:colOff>
                <xdr:row>70</xdr:row>
                <xdr:rowOff>22860</xdr:rowOff>
              </to>
            </anchor>
          </controlPr>
        </control>
      </mc:Choice>
      <mc:Fallback>
        <control shapeId="30722" r:id="rId6" name="txtMapperJava"/>
      </mc:Fallback>
    </mc:AlternateContent>
    <mc:AlternateContent xmlns:mc="http://schemas.openxmlformats.org/markup-compatibility/2006">
      <mc:Choice Requires="x14">
        <control shapeId="30723" r:id="rId8" name="txtMapperXml">
          <controlPr defaultSize="0" autoLine="0" r:id="rId9">
            <anchor moveWithCells="1">
              <from>
                <xdr:col>1</xdr:col>
                <xdr:colOff>0</xdr:colOff>
                <xdr:row>74</xdr:row>
                <xdr:rowOff>7620</xdr:rowOff>
              </from>
              <to>
                <xdr:col>6</xdr:col>
                <xdr:colOff>419100</xdr:colOff>
                <xdr:row>97</xdr:row>
                <xdr:rowOff>22860</xdr:rowOff>
              </to>
            </anchor>
          </controlPr>
        </control>
      </mc:Choice>
      <mc:Fallback>
        <control shapeId="30723" r:id="rId8" name="txtMapperXml"/>
      </mc:Fallback>
    </mc:AlternateContent>
    <mc:AlternateContent xmlns:mc="http://schemas.openxmlformats.org/markup-compatibility/2006">
      <mc:Choice Requires="x14">
        <control shapeId="30724" r:id="rId10" name="btnGenCode">
          <controlPr defaultSize="0" autoLine="0" r:id="rId11">
            <anchor moveWithCells="1">
              <from>
                <xdr:col>2</xdr:col>
                <xdr:colOff>7620</xdr:colOff>
                <xdr:row>17</xdr:row>
                <xdr:rowOff>7620</xdr:rowOff>
              </from>
              <to>
                <xdr:col>3</xdr:col>
                <xdr:colOff>60960</xdr:colOff>
                <xdr:row>18</xdr:row>
                <xdr:rowOff>137160</xdr:rowOff>
              </to>
            </anchor>
          </controlPr>
        </control>
      </mc:Choice>
      <mc:Fallback>
        <control shapeId="30724" r:id="rId10" name="btnGenCode"/>
      </mc:Fallback>
    </mc:AlternateContent>
    <mc:AlternateContent xmlns:mc="http://schemas.openxmlformats.org/markup-compatibility/2006">
      <mc:Choice Requires="x14">
        <control shapeId="30725" r:id="rId12" name="btnCopyModel">
          <controlPr defaultSize="0" autoLine="0" r:id="rId13">
            <anchor moveWithCells="1">
              <from>
                <xdr:col>7</xdr:col>
                <xdr:colOff>45720</xdr:colOff>
                <xdr:row>30</xdr:row>
                <xdr:rowOff>7620</xdr:rowOff>
              </from>
              <to>
                <xdr:col>8</xdr:col>
                <xdr:colOff>190500</xdr:colOff>
                <xdr:row>31</xdr:row>
                <xdr:rowOff>106680</xdr:rowOff>
              </to>
            </anchor>
          </controlPr>
        </control>
      </mc:Choice>
      <mc:Fallback>
        <control shapeId="30725" r:id="rId12" name="btnCopyModel"/>
      </mc:Fallback>
    </mc:AlternateContent>
    <mc:AlternateContent xmlns:mc="http://schemas.openxmlformats.org/markup-compatibility/2006">
      <mc:Choice Requires="x14">
        <control shapeId="30726" r:id="rId14" name="btnCopyMapperJava">
          <controlPr defaultSize="0" autoLine="0" r:id="rId15">
            <anchor moveWithCells="1">
              <from>
                <xdr:col>7</xdr:col>
                <xdr:colOff>45720</xdr:colOff>
                <xdr:row>57</xdr:row>
                <xdr:rowOff>7620</xdr:rowOff>
              </from>
              <to>
                <xdr:col>8</xdr:col>
                <xdr:colOff>190500</xdr:colOff>
                <xdr:row>58</xdr:row>
                <xdr:rowOff>106680</xdr:rowOff>
              </to>
            </anchor>
          </controlPr>
        </control>
      </mc:Choice>
      <mc:Fallback>
        <control shapeId="30726" r:id="rId14" name="btnCopyMapperJava"/>
      </mc:Fallback>
    </mc:AlternateContent>
    <mc:AlternateContent xmlns:mc="http://schemas.openxmlformats.org/markup-compatibility/2006">
      <mc:Choice Requires="x14">
        <control shapeId="30727" r:id="rId16" name="btnCopyMapperXml">
          <controlPr defaultSize="0" autoLine="0" r:id="rId17">
            <anchor moveWithCells="1">
              <from>
                <xdr:col>7</xdr:col>
                <xdr:colOff>45720</xdr:colOff>
                <xdr:row>84</xdr:row>
                <xdr:rowOff>7620</xdr:rowOff>
              </from>
              <to>
                <xdr:col>8</xdr:col>
                <xdr:colOff>190500</xdr:colOff>
                <xdr:row>85</xdr:row>
                <xdr:rowOff>106680</xdr:rowOff>
              </to>
            </anchor>
          </controlPr>
        </control>
      </mc:Choice>
      <mc:Fallback>
        <control shapeId="30727" r:id="rId16" name="btnCopyMapperXm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pageSetUpPr fitToPage="1"/>
  </sheetPr>
  <dimension ref="A1:P83"/>
  <sheetViews>
    <sheetView tabSelected="1" topLeftCell="A79" workbookViewId="0">
      <selection activeCell="H29" sqref="H29"/>
    </sheetView>
  </sheetViews>
  <sheetFormatPr defaultColWidth="8.88671875" defaultRowHeight="12" x14ac:dyDescent="0.25"/>
  <cols>
    <col min="1" max="1" width="3.6640625" style="9" customWidth="1"/>
    <col min="2" max="2" width="24.6640625" style="9" customWidth="1"/>
    <col min="3" max="3" width="14.6640625" style="9" customWidth="1"/>
    <col min="4" max="5" width="8.6640625" style="9" customWidth="1"/>
    <col min="6" max="6" width="16.6640625" style="9" customWidth="1"/>
    <col min="7" max="7" width="16.33203125" style="9" customWidth="1"/>
    <col min="8" max="16384" width="8.88671875" style="9"/>
  </cols>
  <sheetData>
    <row r="1" spans="1:9" ht="15" thickBot="1" x14ac:dyDescent="0.3">
      <c r="A1" s="33" t="str">
        <f>HYPERLINK("#TableList!A1","〈〉")</f>
        <v>〈〉</v>
      </c>
      <c r="B1" s="8" t="s">
        <v>45</v>
      </c>
    </row>
    <row r="2" spans="1:9" x14ac:dyDescent="0.25">
      <c r="B2" s="10" t="s">
        <v>7</v>
      </c>
      <c r="C2" s="12" t="s">
        <v>46</v>
      </c>
    </row>
    <row r="3" spans="1:9" ht="12.6" thickBot="1" x14ac:dyDescent="0.3">
      <c r="B3" s="15" t="s">
        <v>51</v>
      </c>
      <c r="C3" s="16" t="s">
        <v>55</v>
      </c>
    </row>
    <row r="5" spans="1:9" ht="12.6" thickBot="1" x14ac:dyDescent="0.3">
      <c r="A5" s="8" t="s">
        <v>6</v>
      </c>
    </row>
    <row r="6" spans="1:9" x14ac:dyDescent="0.25">
      <c r="A6" s="3" t="s">
        <v>1</v>
      </c>
      <c r="B6" s="4" t="s">
        <v>7</v>
      </c>
      <c r="C6" s="4" t="s">
        <v>8</v>
      </c>
      <c r="D6" s="4" t="s">
        <v>9</v>
      </c>
      <c r="E6" s="4" t="s">
        <v>10</v>
      </c>
      <c r="F6" s="4" t="s">
        <v>32</v>
      </c>
      <c r="G6" s="5" t="s">
        <v>31</v>
      </c>
      <c r="I6" s="14"/>
    </row>
    <row r="7" spans="1:9" x14ac:dyDescent="0.25">
      <c r="A7" s="25">
        <v>1</v>
      </c>
      <c r="B7" s="19" t="s">
        <v>53</v>
      </c>
      <c r="C7" s="19" t="s">
        <v>65</v>
      </c>
      <c r="D7" s="19" t="s">
        <v>11</v>
      </c>
      <c r="E7" s="20" t="s">
        <v>5</v>
      </c>
      <c r="F7" s="27" t="str">
        <f>ConvertToJavaAttr($B7)</f>
        <v>id</v>
      </c>
      <c r="G7" s="28" t="str">
        <f>ConvertToJavaType($C7)</f>
        <v>Long</v>
      </c>
    </row>
    <row r="8" spans="1:9" x14ac:dyDescent="0.25">
      <c r="A8" s="26">
        <v>2</v>
      </c>
      <c r="B8" s="21" t="s">
        <v>16</v>
      </c>
      <c r="C8" s="21" t="s">
        <v>48</v>
      </c>
      <c r="D8" s="21" t="s">
        <v>13</v>
      </c>
      <c r="E8" s="22" t="s">
        <v>5</v>
      </c>
      <c r="F8" s="27" t="str">
        <f t="shared" ref="F8:F10" si="0">ConvertToJavaAttr($B8)</f>
        <v>userName</v>
      </c>
      <c r="G8" s="28" t="str">
        <f t="shared" ref="G8:G10" si="1">ConvertToJavaType($C8)</f>
        <v>String</v>
      </c>
    </row>
    <row r="9" spans="1:9" x14ac:dyDescent="0.25">
      <c r="A9" s="26">
        <v>3</v>
      </c>
      <c r="B9" s="21" t="s">
        <v>17</v>
      </c>
      <c r="C9" s="21" t="s">
        <v>18</v>
      </c>
      <c r="D9" s="21" t="s">
        <v>13</v>
      </c>
      <c r="E9" s="22" t="s">
        <v>5</v>
      </c>
      <c r="F9" s="27" t="str">
        <f t="shared" si="0"/>
        <v>password</v>
      </c>
      <c r="G9" s="28" t="str">
        <f t="shared" si="1"/>
        <v>String</v>
      </c>
    </row>
    <row r="10" spans="1:9" x14ac:dyDescent="0.25">
      <c r="A10" s="26">
        <v>4</v>
      </c>
      <c r="B10" s="21" t="s">
        <v>15</v>
      </c>
      <c r="C10" s="21" t="s">
        <v>66</v>
      </c>
      <c r="D10" s="21" t="s">
        <v>13</v>
      </c>
      <c r="E10" s="22" t="s">
        <v>5</v>
      </c>
      <c r="F10" s="27" t="str">
        <f t="shared" si="0"/>
        <v>roleId</v>
      </c>
      <c r="G10" s="28" t="str">
        <f t="shared" si="1"/>
        <v>Long</v>
      </c>
    </row>
    <row r="11" spans="1:9" x14ac:dyDescent="0.25">
      <c r="A11" s="25">
        <v>1</v>
      </c>
      <c r="B11" s="21" t="s">
        <v>19</v>
      </c>
      <c r="C11" s="21" t="s">
        <v>18</v>
      </c>
      <c r="D11" s="21" t="s">
        <v>13</v>
      </c>
      <c r="E11" s="22" t="s">
        <v>5</v>
      </c>
      <c r="F11" s="27" t="str">
        <f>ConvertToJavaAttr($B11)</f>
        <v>fullName</v>
      </c>
      <c r="G11" s="28" t="str">
        <f>ConvertToJavaType($C11)</f>
        <v>String</v>
      </c>
    </row>
    <row r="12" spans="1:9" x14ac:dyDescent="0.25">
      <c r="A12" s="26">
        <v>2</v>
      </c>
      <c r="B12" s="21" t="s">
        <v>25</v>
      </c>
      <c r="C12" s="21" t="s">
        <v>22</v>
      </c>
      <c r="D12" s="21" t="s">
        <v>5</v>
      </c>
      <c r="E12" s="22" t="s">
        <v>5</v>
      </c>
      <c r="F12" s="27" t="str">
        <f t="shared" ref="F12:F14" si="2">ConvertToJavaAttr($B12)</f>
        <v>phone</v>
      </c>
      <c r="G12" s="28" t="str">
        <f t="shared" ref="G12:G14" si="3">ConvertToJavaType($C12)</f>
        <v>String</v>
      </c>
    </row>
    <row r="13" spans="1:9" x14ac:dyDescent="0.25">
      <c r="A13" s="26">
        <v>3</v>
      </c>
      <c r="B13" s="21" t="s">
        <v>24</v>
      </c>
      <c r="C13" s="21" t="s">
        <v>23</v>
      </c>
      <c r="D13" s="21" t="s">
        <v>5</v>
      </c>
      <c r="E13" s="22" t="s">
        <v>5</v>
      </c>
      <c r="F13" s="27" t="str">
        <f t="shared" si="2"/>
        <v>email</v>
      </c>
      <c r="G13" s="28" t="str">
        <f t="shared" si="3"/>
        <v>String</v>
      </c>
    </row>
    <row r="14" spans="1:9" x14ac:dyDescent="0.25">
      <c r="A14" s="26">
        <v>4</v>
      </c>
      <c r="B14" s="21" t="s">
        <v>26</v>
      </c>
      <c r="C14" s="21" t="s">
        <v>23</v>
      </c>
      <c r="D14" s="21" t="s">
        <v>5</v>
      </c>
      <c r="E14" s="22" t="s">
        <v>5</v>
      </c>
      <c r="F14" s="27" t="str">
        <f t="shared" si="2"/>
        <v>address</v>
      </c>
      <c r="G14" s="28" t="str">
        <f t="shared" si="3"/>
        <v>String</v>
      </c>
    </row>
    <row r="15" spans="1:9" x14ac:dyDescent="0.25">
      <c r="A15" s="25">
        <v>1</v>
      </c>
      <c r="B15" s="21" t="s">
        <v>29</v>
      </c>
      <c r="C15" s="21" t="s">
        <v>23</v>
      </c>
      <c r="D15" s="21" t="s">
        <v>5</v>
      </c>
      <c r="E15" s="22" t="s">
        <v>5</v>
      </c>
      <c r="F15" s="27" t="str">
        <f>ConvertToJavaAttr($B15)</f>
        <v>img</v>
      </c>
      <c r="G15" s="28" t="str">
        <f>ConvertToJavaType($C15)</f>
        <v>String</v>
      </c>
    </row>
    <row r="16" spans="1:9" x14ac:dyDescent="0.25">
      <c r="A16" s="26">
        <v>2</v>
      </c>
      <c r="B16" s="21" t="s">
        <v>57</v>
      </c>
      <c r="C16" s="21" t="s">
        <v>27</v>
      </c>
      <c r="D16" s="21" t="s">
        <v>5</v>
      </c>
      <c r="E16" s="22" t="s">
        <v>5</v>
      </c>
      <c r="F16" s="27" t="str">
        <f t="shared" ref="F16:F18" si="4">ConvertToJavaAttr($B16)</f>
        <v>remark</v>
      </c>
      <c r="G16" s="28" t="str">
        <f t="shared" ref="G16:G18" si="5">ConvertToJavaType($C16)</f>
        <v>String</v>
      </c>
    </row>
    <row r="17" spans="1:7" x14ac:dyDescent="0.25">
      <c r="A17" s="26">
        <v>3</v>
      </c>
      <c r="B17" s="21" t="s">
        <v>58</v>
      </c>
      <c r="C17" s="21" t="s">
        <v>59</v>
      </c>
      <c r="D17" s="21" t="s">
        <v>5</v>
      </c>
      <c r="E17" s="22" t="s">
        <v>5</v>
      </c>
      <c r="F17" s="27" t="str">
        <f t="shared" si="4"/>
        <v>loginIp</v>
      </c>
      <c r="G17" s="28" t="str">
        <f t="shared" si="5"/>
        <v>String</v>
      </c>
    </row>
    <row r="18" spans="1:7" x14ac:dyDescent="0.25">
      <c r="A18" s="26">
        <v>4</v>
      </c>
      <c r="B18" s="21" t="s">
        <v>60</v>
      </c>
      <c r="C18" s="21" t="s">
        <v>52</v>
      </c>
      <c r="D18" s="21" t="s">
        <v>5</v>
      </c>
      <c r="E18" s="22" t="s">
        <v>5</v>
      </c>
      <c r="F18" s="27" t="str">
        <f t="shared" si="4"/>
        <v>loginDate</v>
      </c>
      <c r="G18" s="28" t="str">
        <f t="shared" si="5"/>
        <v>Date</v>
      </c>
    </row>
    <row r="19" spans="1:7" x14ac:dyDescent="0.25">
      <c r="A19" s="25">
        <v>1</v>
      </c>
      <c r="B19" s="21" t="s">
        <v>61</v>
      </c>
      <c r="C19" s="21" t="s">
        <v>20</v>
      </c>
      <c r="D19" s="21" t="s">
        <v>5</v>
      </c>
      <c r="E19" s="22" t="s">
        <v>14</v>
      </c>
      <c r="F19" s="27" t="str">
        <f>ConvertToJavaAttr($B19)</f>
        <v>delFlag</v>
      </c>
      <c r="G19" s="28" t="str">
        <f>ConvertToJavaType($C19)</f>
        <v>Boolean</v>
      </c>
    </row>
    <row r="20" spans="1:7" x14ac:dyDescent="0.25">
      <c r="A20" s="26">
        <v>2</v>
      </c>
      <c r="B20" s="21" t="s">
        <v>62</v>
      </c>
      <c r="C20" s="21" t="s">
        <v>56</v>
      </c>
      <c r="D20" s="21" t="s">
        <v>13</v>
      </c>
      <c r="E20" s="22" t="s">
        <v>28</v>
      </c>
      <c r="F20" s="27" t="str">
        <f t="shared" ref="F20:F22" si="6">ConvertToJavaAttr($B20)</f>
        <v>version</v>
      </c>
      <c r="G20" s="28" t="str">
        <f t="shared" ref="G20:G22" si="7">ConvertToJavaType($C20)</f>
        <v>Integer</v>
      </c>
    </row>
    <row r="21" spans="1:7" x14ac:dyDescent="0.25">
      <c r="A21" s="26">
        <v>3</v>
      </c>
      <c r="B21" s="21" t="s">
        <v>54</v>
      </c>
      <c r="C21" s="21" t="s">
        <v>52</v>
      </c>
      <c r="D21" s="21" t="s">
        <v>13</v>
      </c>
      <c r="E21" s="22" t="s">
        <v>5</v>
      </c>
      <c r="F21" s="27" t="str">
        <f t="shared" si="6"/>
        <v>createdAt</v>
      </c>
      <c r="G21" s="28" t="str">
        <f t="shared" si="7"/>
        <v>Date</v>
      </c>
    </row>
    <row r="22" spans="1:7" x14ac:dyDescent="0.25">
      <c r="A22" s="26">
        <v>4</v>
      </c>
      <c r="B22" s="21" t="s">
        <v>63</v>
      </c>
      <c r="C22" s="21" t="s">
        <v>52</v>
      </c>
      <c r="D22" s="21" t="s">
        <v>13</v>
      </c>
      <c r="E22" s="22" t="s">
        <v>5</v>
      </c>
      <c r="F22" s="27" t="str">
        <f t="shared" si="6"/>
        <v>updatedAt</v>
      </c>
      <c r="G22" s="28" t="str">
        <f t="shared" si="7"/>
        <v>Date</v>
      </c>
    </row>
    <row r="23" spans="1:7" ht="12.6" thickBot="1" x14ac:dyDescent="0.3">
      <c r="A23" s="25">
        <v>1</v>
      </c>
      <c r="B23" s="23" t="s">
        <v>64</v>
      </c>
      <c r="C23" s="23" t="s">
        <v>56</v>
      </c>
      <c r="D23" s="23" t="s">
        <v>5</v>
      </c>
      <c r="E23" s="24" t="s">
        <v>5</v>
      </c>
      <c r="F23" s="27" t="str">
        <f>ConvertToJavaAttr($B23)</f>
        <v>updatedBy</v>
      </c>
      <c r="G23" s="28" t="str">
        <f>ConvertToJavaType($C23)</f>
        <v>Integer</v>
      </c>
    </row>
    <row r="24" spans="1:7" x14ac:dyDescent="0.25">
      <c r="A24" s="29"/>
      <c r="B24" s="30"/>
      <c r="C24" s="30"/>
      <c r="D24" s="30"/>
      <c r="E24" s="31"/>
      <c r="F24" s="29"/>
      <c r="G24" s="32"/>
    </row>
    <row r="25" spans="1:7" x14ac:dyDescent="0.25">
      <c r="A25" s="29"/>
      <c r="B25" s="30"/>
      <c r="C25" s="30"/>
      <c r="D25" s="30"/>
      <c r="E25" s="31"/>
      <c r="F25" s="29"/>
      <c r="G25" s="32"/>
    </row>
    <row r="26" spans="1:7" x14ac:dyDescent="0.25">
      <c r="A26" s="29"/>
      <c r="B26" s="30"/>
      <c r="C26" s="30"/>
      <c r="D26" s="30"/>
      <c r="E26" s="31"/>
      <c r="F26" s="29"/>
      <c r="G26" s="32"/>
    </row>
    <row r="28" spans="1:7" x14ac:dyDescent="0.25">
      <c r="A28" s="17" t="s">
        <v>47</v>
      </c>
      <c r="B28" s="18"/>
      <c r="C28" s="18"/>
      <c r="D28" s="18"/>
      <c r="E28" s="18"/>
      <c r="F28" s="18"/>
    </row>
    <row r="29" spans="1:7" x14ac:dyDescent="0.25">
      <c r="B29" s="8" t="str">
        <f>$C$3 &amp; ".java"</f>
        <v>User.java</v>
      </c>
    </row>
    <row r="38" spans="1:16" s="18" customFormat="1" ht="21" customHeight="1" x14ac:dyDescent="0.25">
      <c r="A38" s="9"/>
      <c r="B38" s="9"/>
      <c r="C38" s="9"/>
      <c r="D38" s="9"/>
      <c r="E38" s="9"/>
      <c r="F38" s="9"/>
      <c r="G38" s="9"/>
    </row>
    <row r="39" spans="1:16" x14ac:dyDescent="0.25">
      <c r="P39" s="8"/>
    </row>
    <row r="40" spans="1:16" ht="12.6" customHeight="1" x14ac:dyDescent="0.25"/>
    <row r="56" spans="2:2" x14ac:dyDescent="0.25">
      <c r="B56" s="8" t="str">
        <f>$C$3 &amp; "Mapper.java"</f>
        <v>UserMapper.java</v>
      </c>
    </row>
    <row r="83" spans="2:2" x14ac:dyDescent="0.25">
      <c r="B83" s="8" t="str">
        <f>$C$3 &amp; "Mapper.xml"</f>
        <v>UserMapper.xml</v>
      </c>
    </row>
  </sheetData>
  <pageMargins left="0.7" right="0.7" top="0.75" bottom="0.75" header="0.3" footer="0.3"/>
  <pageSetup scale="95" fitToHeight="0" orientation="portrait" horizontalDpi="300" verticalDpi="300" r:id="rId1"/>
  <headerFooter>
    <oddHeader>&amp;LTable Definition Document&amp;R&amp;D</oddHeader>
    <oddFooter>&amp;C&amp;P/&amp;N</oddFooter>
  </headerFooter>
  <drawing r:id="rId2"/>
  <legacyDrawing r:id="rId3"/>
  <controls>
    <mc:AlternateContent xmlns:mc="http://schemas.openxmlformats.org/markup-compatibility/2006">
      <mc:Choice Requires="x14">
        <control shapeId="25607" r:id="rId4" name="btnCopyMapperXml">
          <controlPr defaultSize="0" autoLine="0" r:id="rId5">
            <anchor moveWithCells="1">
              <from>
                <xdr:col>7</xdr:col>
                <xdr:colOff>45720</xdr:colOff>
                <xdr:row>94</xdr:row>
                <xdr:rowOff>7620</xdr:rowOff>
              </from>
              <to>
                <xdr:col>8</xdr:col>
                <xdr:colOff>167640</xdr:colOff>
                <xdr:row>95</xdr:row>
                <xdr:rowOff>106680</xdr:rowOff>
              </to>
            </anchor>
          </controlPr>
        </control>
      </mc:Choice>
      <mc:Fallback>
        <control shapeId="25607" r:id="rId4" name="btnCopyMapperXml"/>
      </mc:Fallback>
    </mc:AlternateContent>
    <mc:AlternateContent xmlns:mc="http://schemas.openxmlformats.org/markup-compatibility/2006">
      <mc:Choice Requires="x14">
        <control shapeId="25606" r:id="rId6" name="btnCopyMapperJava">
          <controlPr defaultSize="0" autoLine="0" r:id="rId7">
            <anchor moveWithCells="1">
              <from>
                <xdr:col>7</xdr:col>
                <xdr:colOff>45720</xdr:colOff>
                <xdr:row>67</xdr:row>
                <xdr:rowOff>7620</xdr:rowOff>
              </from>
              <to>
                <xdr:col>8</xdr:col>
                <xdr:colOff>167640</xdr:colOff>
                <xdr:row>68</xdr:row>
                <xdr:rowOff>106680</xdr:rowOff>
              </to>
            </anchor>
          </controlPr>
        </control>
      </mc:Choice>
      <mc:Fallback>
        <control shapeId="25606" r:id="rId6" name="btnCopyMapperJava"/>
      </mc:Fallback>
    </mc:AlternateContent>
    <mc:AlternateContent xmlns:mc="http://schemas.openxmlformats.org/markup-compatibility/2006">
      <mc:Choice Requires="x14">
        <control shapeId="25605" r:id="rId8" name="btnCopyModel">
          <controlPr defaultSize="0" autoLine="0" r:id="rId9">
            <anchor moveWithCells="1">
              <from>
                <xdr:col>7</xdr:col>
                <xdr:colOff>45720</xdr:colOff>
                <xdr:row>40</xdr:row>
                <xdr:rowOff>7620</xdr:rowOff>
              </from>
              <to>
                <xdr:col>8</xdr:col>
                <xdr:colOff>167640</xdr:colOff>
                <xdr:row>41</xdr:row>
                <xdr:rowOff>106680</xdr:rowOff>
              </to>
            </anchor>
          </controlPr>
        </control>
      </mc:Choice>
      <mc:Fallback>
        <control shapeId="25605" r:id="rId8" name="btnCopyModel"/>
      </mc:Fallback>
    </mc:AlternateContent>
    <mc:AlternateContent xmlns:mc="http://schemas.openxmlformats.org/markup-compatibility/2006">
      <mc:Choice Requires="x14">
        <control shapeId="25604" r:id="rId10" name="btnGenCode">
          <controlPr defaultSize="0" autoLine="0" r:id="rId11">
            <anchor moveWithCells="1">
              <from>
                <xdr:col>2</xdr:col>
                <xdr:colOff>7620</xdr:colOff>
                <xdr:row>27</xdr:row>
                <xdr:rowOff>7620</xdr:rowOff>
              </from>
              <to>
                <xdr:col>3</xdr:col>
                <xdr:colOff>30480</xdr:colOff>
                <xdr:row>28</xdr:row>
                <xdr:rowOff>129540</xdr:rowOff>
              </to>
            </anchor>
          </controlPr>
        </control>
      </mc:Choice>
      <mc:Fallback>
        <control shapeId="25604" r:id="rId10" name="btnGenCode"/>
      </mc:Fallback>
    </mc:AlternateContent>
    <mc:AlternateContent xmlns:mc="http://schemas.openxmlformats.org/markup-compatibility/2006">
      <mc:Choice Requires="x14">
        <control shapeId="25603" r:id="rId12" name="txtMapperXml">
          <controlPr defaultSize="0" autoLine="0" r:id="rId13">
            <anchor moveWithCells="1">
              <from>
                <xdr:col>1</xdr:col>
                <xdr:colOff>0</xdr:colOff>
                <xdr:row>84</xdr:row>
                <xdr:rowOff>7620</xdr:rowOff>
              </from>
              <to>
                <xdr:col>6</xdr:col>
                <xdr:colOff>297180</xdr:colOff>
                <xdr:row>107</xdr:row>
                <xdr:rowOff>15240</xdr:rowOff>
              </to>
            </anchor>
          </controlPr>
        </control>
      </mc:Choice>
      <mc:Fallback>
        <control shapeId="25603" r:id="rId12" name="txtMapperXml"/>
      </mc:Fallback>
    </mc:AlternateContent>
    <mc:AlternateContent xmlns:mc="http://schemas.openxmlformats.org/markup-compatibility/2006">
      <mc:Choice Requires="x14">
        <control shapeId="25602" r:id="rId14" name="txtMapperJava">
          <controlPr defaultSize="0" autoLine="0" r:id="rId15">
            <anchor moveWithCells="1">
              <from>
                <xdr:col>1</xdr:col>
                <xdr:colOff>0</xdr:colOff>
                <xdr:row>57</xdr:row>
                <xdr:rowOff>22860</xdr:rowOff>
              </from>
              <to>
                <xdr:col>6</xdr:col>
                <xdr:colOff>297180</xdr:colOff>
                <xdr:row>80</xdr:row>
                <xdr:rowOff>22860</xdr:rowOff>
              </to>
            </anchor>
          </controlPr>
        </control>
      </mc:Choice>
      <mc:Fallback>
        <control shapeId="25602" r:id="rId14" name="txtMapperJava"/>
      </mc:Fallback>
    </mc:AlternateContent>
    <mc:AlternateContent xmlns:mc="http://schemas.openxmlformats.org/markup-compatibility/2006">
      <mc:Choice Requires="x14">
        <control shapeId="25601" r:id="rId16" name="txtModel">
          <controlPr defaultSize="0" autoLine="0" r:id="rId17">
            <anchor moveWithCells="1">
              <from>
                <xdr:col>1</xdr:col>
                <xdr:colOff>7620</xdr:colOff>
                <xdr:row>30</xdr:row>
                <xdr:rowOff>22860</xdr:rowOff>
              </from>
              <to>
                <xdr:col>6</xdr:col>
                <xdr:colOff>297180</xdr:colOff>
                <xdr:row>52</xdr:row>
                <xdr:rowOff>53340</xdr:rowOff>
              </to>
            </anchor>
          </controlPr>
        </control>
      </mc:Choice>
      <mc:Fallback>
        <control shapeId="25601" r:id="rId16" name="txtModel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1" tint="0.499984740745262"/>
    <pageSetUpPr fitToPage="1"/>
  </sheetPr>
  <dimension ref="B1:C10"/>
  <sheetViews>
    <sheetView workbookViewId="0">
      <selection activeCell="I16" sqref="I16"/>
    </sheetView>
  </sheetViews>
  <sheetFormatPr defaultColWidth="8.88671875" defaultRowHeight="12" x14ac:dyDescent="0.25"/>
  <cols>
    <col min="1" max="1" width="5" style="9" customWidth="1"/>
    <col min="2" max="2" width="16.6640625" style="9" customWidth="1"/>
    <col min="3" max="3" width="21.33203125" style="9" customWidth="1"/>
    <col min="4" max="16384" width="8.88671875" style="9"/>
  </cols>
  <sheetData>
    <row r="1" spans="2:3" ht="12.6" thickBot="1" x14ac:dyDescent="0.3">
      <c r="B1" s="8" t="s">
        <v>33</v>
      </c>
    </row>
    <row r="2" spans="2:3" x14ac:dyDescent="0.25">
      <c r="B2" s="11" t="s">
        <v>8</v>
      </c>
      <c r="C2" s="11" t="s">
        <v>34</v>
      </c>
    </row>
    <row r="3" spans="2:3" x14ac:dyDescent="0.25">
      <c r="B3" s="6" t="s">
        <v>12</v>
      </c>
      <c r="C3" s="6" t="s">
        <v>38</v>
      </c>
    </row>
    <row r="4" spans="2:3" x14ac:dyDescent="0.25">
      <c r="B4" s="7" t="s">
        <v>39</v>
      </c>
      <c r="C4" s="7" t="s">
        <v>40</v>
      </c>
    </row>
    <row r="5" spans="2:3" x14ac:dyDescent="0.25">
      <c r="B5" s="7" t="s">
        <v>35</v>
      </c>
      <c r="C5" s="7" t="s">
        <v>41</v>
      </c>
    </row>
    <row r="6" spans="2:3" x14ac:dyDescent="0.25">
      <c r="B6" s="7" t="s">
        <v>36</v>
      </c>
      <c r="C6" s="7" t="s">
        <v>42</v>
      </c>
    </row>
    <row r="7" spans="2:3" x14ac:dyDescent="0.25">
      <c r="B7" s="7" t="s">
        <v>21</v>
      </c>
      <c r="C7" s="7" t="s">
        <v>43</v>
      </c>
    </row>
    <row r="8" spans="2:3" x14ac:dyDescent="0.25">
      <c r="B8" s="7" t="s">
        <v>30</v>
      </c>
      <c r="C8" s="7" t="s">
        <v>44</v>
      </c>
    </row>
    <row r="9" spans="2:3" x14ac:dyDescent="0.25">
      <c r="B9" s="7" t="s">
        <v>37</v>
      </c>
      <c r="C9" s="7" t="s">
        <v>41</v>
      </c>
    </row>
    <row r="10" spans="2:3" x14ac:dyDescent="0.25">
      <c r="B10" s="13" t="s">
        <v>27</v>
      </c>
      <c r="C10" s="13" t="s">
        <v>41</v>
      </c>
    </row>
  </sheetData>
  <pageMargins left="0.7" right="0.7" top="0.75" bottom="0.75" header="0.3" footer="0.3"/>
  <pageSetup scale="95" fitToHeight="0" orientation="portrait" horizontalDpi="300" verticalDpi="300" r:id="rId1"/>
  <headerFooter>
    <oddHeader>&amp;LTable Definition Document&amp;R&amp;D</oddHeader>
    <oddFooter>&amp;C&amp;P/&amp;N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TableList</vt:lpstr>
      <vt:lpstr>role</vt:lpstr>
      <vt:lpstr>permission</vt:lpstr>
      <vt:lpstr>role_permission</vt:lpstr>
      <vt:lpstr>user</vt:lpstr>
      <vt:lpstr>Remark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bảo hoàng</dc:creator>
  <cp:lastModifiedBy>bảo hoàng</cp:lastModifiedBy>
  <dcterms:created xsi:type="dcterms:W3CDTF">2020-12-18T08:02:33Z</dcterms:created>
  <dcterms:modified xsi:type="dcterms:W3CDTF">2021-04-22T23:44:15Z</dcterms:modified>
</cp:coreProperties>
</file>